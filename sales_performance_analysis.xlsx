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470e45bd271d5d26/Desktop/"/>
    </mc:Choice>
  </mc:AlternateContent>
  <xr:revisionPtr revIDLastSave="496" documentId="8_{809A5C25-05DE-4FE7-B528-21CF2988D7D7}" xr6:coauthVersionLast="47" xr6:coauthVersionMax="47" xr10:uidLastSave="{2B1D9951-80B0-474F-A0B4-3436B4590335}"/>
  <bookViews>
    <workbookView xWindow="-108" yWindow="-108" windowWidth="23256" windowHeight="12456" firstSheet="2" activeTab="4" xr2:uid="{9E16A870-2EDB-40BB-BB96-40A3BBBE2FF0}"/>
  </bookViews>
  <sheets>
    <sheet name="Region cost" sheetId="3" r:id="rId1"/>
    <sheet name="sales by product" sheetId="4" r:id="rId2"/>
    <sheet name="category" sheetId="5" r:id="rId3"/>
    <sheet name="product vs cost" sheetId="6" r:id="rId4"/>
    <sheet name="Dashboard" sheetId="7" r:id="rId5"/>
    <sheet name="profit" sheetId="8" r:id="rId6"/>
    <sheet name="top products" sheetId="9" r:id="rId7"/>
    <sheet name="Raw_data" sheetId="1" r:id="rId8"/>
  </sheets>
  <definedNames>
    <definedName name="_xlnm._FilterDatabase" localSheetId="7" hidden="1">Raw_data!$A$1:$J$31</definedName>
    <definedName name="Slicer_Months__Order_Date">#N/A</definedName>
    <definedName name="Slicer_Region">#N/A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6" i="1"/>
  <c r="L31" i="1"/>
  <c r="L16" i="1"/>
  <c r="L3" i="1"/>
  <c r="L19" i="1"/>
  <c r="L25" i="1"/>
  <c r="L13" i="1"/>
  <c r="L27" i="1"/>
  <c r="L9" i="1"/>
  <c r="L10" i="1"/>
  <c r="L15" i="1"/>
  <c r="L23" i="1"/>
  <c r="L7" i="1"/>
  <c r="L29" i="1"/>
  <c r="L17" i="1"/>
  <c r="L4" i="1"/>
  <c r="L20" i="1"/>
  <c r="L26" i="1"/>
  <c r="L12" i="1"/>
  <c r="L28" i="1"/>
  <c r="L8" i="1"/>
  <c r="L11" i="1"/>
  <c r="L14" i="1"/>
  <c r="L24" i="1"/>
  <c r="L5" i="1"/>
  <c r="L30" i="1"/>
  <c r="L18" i="1"/>
  <c r="L2" i="1"/>
  <c r="L21" i="1"/>
  <c r="K22" i="1"/>
  <c r="K6" i="1"/>
  <c r="K31" i="1"/>
  <c r="K16" i="1"/>
  <c r="K3" i="1"/>
  <c r="K19" i="1"/>
  <c r="K25" i="1"/>
  <c r="K13" i="1"/>
  <c r="K27" i="1"/>
  <c r="K9" i="1"/>
  <c r="K10" i="1"/>
  <c r="K15" i="1"/>
  <c r="K23" i="1"/>
  <c r="K7" i="1"/>
  <c r="K29" i="1"/>
  <c r="K17" i="1"/>
  <c r="K4" i="1"/>
  <c r="K20" i="1"/>
  <c r="K26" i="1"/>
  <c r="K12" i="1"/>
  <c r="K28" i="1"/>
  <c r="K8" i="1"/>
  <c r="K11" i="1"/>
  <c r="K14" i="1"/>
  <c r="K24" i="1"/>
  <c r="K5" i="1"/>
  <c r="K30" i="1"/>
  <c r="K18" i="1"/>
  <c r="K2" i="1"/>
  <c r="K21" i="1"/>
  <c r="M26" i="1" l="1"/>
  <c r="N26" i="1" s="1"/>
  <c r="M25" i="1"/>
  <c r="N25" i="1" s="1"/>
  <c r="M14" i="1"/>
  <c r="N14" i="1" s="1"/>
  <c r="M10" i="1"/>
  <c r="N10" i="1" s="1"/>
  <c r="M9" i="1"/>
  <c r="N9" i="1" s="1"/>
  <c r="M28" i="1"/>
  <c r="N28" i="1" s="1"/>
  <c r="M27" i="1"/>
  <c r="N27" i="1" s="1"/>
  <c r="M15" i="1"/>
  <c r="N15" i="1" s="1"/>
  <c r="M11" i="1"/>
  <c r="N11" i="1" s="1"/>
  <c r="M8" i="1"/>
  <c r="N8" i="1" s="1"/>
  <c r="M12" i="1"/>
  <c r="N12" i="1" s="1"/>
  <c r="M13" i="1"/>
  <c r="N13" i="1" s="1"/>
  <c r="M20" i="1"/>
  <c r="N20" i="1" s="1"/>
  <c r="M2" i="1"/>
  <c r="N2" i="1" s="1"/>
  <c r="M18" i="1"/>
  <c r="N18" i="1" s="1"/>
  <c r="M21" i="1"/>
  <c r="N21" i="1" s="1"/>
  <c r="M3" i="1"/>
  <c r="N3" i="1" s="1"/>
  <c r="M17" i="1"/>
  <c r="N17" i="1" s="1"/>
  <c r="M29" i="1"/>
  <c r="N29" i="1" s="1"/>
  <c r="M5" i="1"/>
  <c r="N5" i="1" s="1"/>
  <c r="M7" i="1"/>
  <c r="N7" i="1" s="1"/>
  <c r="M6" i="1"/>
  <c r="N6" i="1" s="1"/>
  <c r="M19" i="1"/>
  <c r="N19" i="1" s="1"/>
  <c r="M4" i="1"/>
  <c r="N4" i="1" s="1"/>
  <c r="M16" i="1"/>
  <c r="N16" i="1" s="1"/>
  <c r="M30" i="1"/>
  <c r="N30" i="1" s="1"/>
  <c r="M31" i="1"/>
  <c r="N31" i="1" s="1"/>
  <c r="M24" i="1"/>
  <c r="N24" i="1" s="1"/>
  <c r="M23" i="1"/>
  <c r="N23" i="1" s="1"/>
  <c r="M22" i="1"/>
  <c r="N22" i="1" s="1"/>
</calcChain>
</file>

<file path=xl/sharedStrings.xml><?xml version="1.0" encoding="utf-8"?>
<sst xmlns="http://schemas.openxmlformats.org/spreadsheetml/2006/main" count="238" uniqueCount="58">
  <si>
    <t>Order_ID</t>
  </si>
  <si>
    <t>Order_Date</t>
  </si>
  <si>
    <t>Region</t>
  </si>
  <si>
    <t>Salesperson</t>
  </si>
  <si>
    <t>Product</t>
  </si>
  <si>
    <t>Category</t>
  </si>
  <si>
    <t>Quantity</t>
  </si>
  <si>
    <t>Unit_Price</t>
  </si>
  <si>
    <t>Cost_Price</t>
  </si>
  <si>
    <t>Payment_Mode</t>
  </si>
  <si>
    <t>North</t>
  </si>
  <si>
    <t>Rahul</t>
  </si>
  <si>
    <t>Laptop</t>
  </si>
  <si>
    <t>Electronics</t>
  </si>
  <si>
    <t>Card</t>
  </si>
  <si>
    <t>South</t>
  </si>
  <si>
    <t>Anita</t>
  </si>
  <si>
    <t>Mobile</t>
  </si>
  <si>
    <t>UPI</t>
  </si>
  <si>
    <t>East</t>
  </si>
  <si>
    <t>Suresh</t>
  </si>
  <si>
    <t>Office Chair</t>
  </si>
  <si>
    <t>Furniture</t>
  </si>
  <si>
    <t>Cash</t>
  </si>
  <si>
    <t>West</t>
  </si>
  <si>
    <t>Neha</t>
  </si>
  <si>
    <t>Desk</t>
  </si>
  <si>
    <t>Amit</t>
  </si>
  <si>
    <t>Tablet</t>
  </si>
  <si>
    <t>Priya</t>
  </si>
  <si>
    <t>Printer</t>
  </si>
  <si>
    <t>Ravi</t>
  </si>
  <si>
    <t>Bookshelf</t>
  </si>
  <si>
    <t>Kiran</t>
  </si>
  <si>
    <t>Monitor</t>
  </si>
  <si>
    <t>Sunita</t>
  </si>
  <si>
    <t>Keyboard</t>
  </si>
  <si>
    <t>Arjun</t>
  </si>
  <si>
    <t>Mouse</t>
  </si>
  <si>
    <t>Deepak</t>
  </si>
  <si>
    <t>Desk Lamp</t>
  </si>
  <si>
    <t>Accessories</t>
  </si>
  <si>
    <t>Meena</t>
  </si>
  <si>
    <t>Router</t>
  </si>
  <si>
    <t>Revenue</t>
  </si>
  <si>
    <t>Total_Cost</t>
  </si>
  <si>
    <t>Profit</t>
  </si>
  <si>
    <t>Profit_margin</t>
  </si>
  <si>
    <t>Row Labels</t>
  </si>
  <si>
    <t>Grand Total</t>
  </si>
  <si>
    <t>Sum of Profit</t>
  </si>
  <si>
    <t>Sum of Total_Cost</t>
  </si>
  <si>
    <t>Sum of Revenue</t>
  </si>
  <si>
    <t>Count of Category</t>
  </si>
  <si>
    <t>Column Labels</t>
  </si>
  <si>
    <t>Sum of Cost_Price</t>
  </si>
  <si>
    <t>Sales Performance Analysis-2024</t>
  </si>
  <si>
    <t>Sum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</si>
</sst>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Calibri"/>
      <family val="2"/>
      <scheme val="minor"/>
    </font>
    <font>
      <sz val="11"/>
      <color theme="1"/>
      <name val="Calibri"/>
      <family val="2"/>
      <scheme val="minor"/>
    </font>
    <font>
      <sz val="8"/>
      <name val="Calibri"/>
      <family val="2"/>
      <scheme val="minor"/>
    </font>
    <font>
      <sz val="20"/>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Alignment="1">
      <alignment horizontal="center"/>
    </xf>
    <xf numFmtId="164" fontId="0" fillId="0" borderId="0" xfId="0" applyNumberFormat="1" applyAlignment="1">
      <alignment horizontal="center"/>
    </xf>
    <xf numFmtId="9" fontId="0" fillId="0" borderId="0" xfId="1" applyFont="1" applyAlignment="1">
      <alignment horizontal="center"/>
    </xf>
    <xf numFmtId="14" fontId="0" fillId="0" borderId="0" xfId="0" applyNumberFormat="1"/>
    <xf numFmtId="9" fontId="0" fillId="0" borderId="0" xfId="1" applyFont="1" applyAlignmen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xf numFmtId="0" fontId="3" fillId="2" borderId="0" xfId="0" applyFont="1" applyFill="1" applyAlignment="1">
      <alignment horizontal="center"/>
    </xf>
    <xf numFmtId="9" fontId="0" fillId="0" borderId="0" xfId="0" applyNumberFormat="1"/>
    <xf numFmtId="0" fontId="0" fillId="3" borderId="0" xfId="0" applyFill="1"/>
  </cellXfs>
  <cellStyles count="2">
    <cellStyle name="Normal" xfId="0" builtinId="0"/>
    <cellStyle name="Percent" xfId="1" builtinId="5"/>
  </cellStyles>
  <dxfs count="16">
    <dxf>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9" formatCode="dd/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[sales_performance_analysis.xlsx]Region cost!PivotTable1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total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cost'!$B$3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cost'!$A$4:$A$8</c:f>
              <c:strCache>
                <c:ptCount val="4"/>
                <c:pt idx="0">
                  <c:v>East</c:v>
                </c:pt>
                <c:pt idx="1">
                  <c:v>North</c:v>
                </c:pt>
                <c:pt idx="2">
                  <c:v>South</c:v>
                </c:pt>
                <c:pt idx="3">
                  <c:v>West</c:v>
                </c:pt>
              </c:strCache>
            </c:strRef>
          </c:cat>
          <c:val>
            <c:numRef>
              <c:f>'Region cost'!$B$4:$B$8</c:f>
              <c:numCache>
                <c:formatCode>General</c:formatCode>
                <c:ptCount val="4"/>
                <c:pt idx="0">
                  <c:v>164700</c:v>
                </c:pt>
                <c:pt idx="1">
                  <c:v>306900</c:v>
                </c:pt>
                <c:pt idx="2">
                  <c:v>144850</c:v>
                </c:pt>
                <c:pt idx="3">
                  <c:v>153500</c:v>
                </c:pt>
              </c:numCache>
            </c:numRef>
          </c:val>
          <c:extLst>
            <c:ext xmlns:c16="http://schemas.microsoft.com/office/drawing/2014/chart" uri="{C3380CC4-5D6E-409C-BE32-E72D297353CC}">
              <c16:uniqueId val="{00000000-259C-4B6C-B924-5A8272F6DDDC}"/>
            </c:ext>
          </c:extLst>
        </c:ser>
        <c:dLbls>
          <c:showLegendKey val="0"/>
          <c:showVal val="1"/>
          <c:showCatName val="0"/>
          <c:showSerName val="0"/>
          <c:showPercent val="0"/>
          <c:showBubbleSize val="0"/>
        </c:dLbls>
        <c:gapWidth val="150"/>
        <c:shape val="box"/>
        <c:axId val="71181344"/>
        <c:axId val="71184704"/>
        <c:axId val="0"/>
      </c:bar3DChart>
      <c:catAx>
        <c:axId val="7118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4704"/>
        <c:crosses val="autoZero"/>
        <c:auto val="1"/>
        <c:lblAlgn val="ctr"/>
        <c:lblOffset val="100"/>
        <c:noMultiLvlLbl val="0"/>
      </c:catAx>
      <c:valAx>
        <c:axId val="7118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[sales_performance_analysis.xlsx]sales by 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product'!$B$3</c:f>
              <c:strCache>
                <c:ptCount val="1"/>
                <c:pt idx="0">
                  <c:v>Sum of Revenue</c:v>
                </c:pt>
              </c:strCache>
            </c:strRef>
          </c:tx>
          <c:spPr>
            <a:solidFill>
              <a:schemeClr val="accent1"/>
            </a:solidFill>
            <a:ln>
              <a:noFill/>
            </a:ln>
            <a:effectLst/>
            <a:sp3d/>
          </c:spPr>
          <c:invertIfNegative val="0"/>
          <c:cat>
            <c:strRef>
              <c:f>'sales by product'!$A$4:$A$16</c:f>
              <c:strCache>
                <c:ptCount val="12"/>
                <c:pt idx="0">
                  <c:v>Bookshelf</c:v>
                </c:pt>
                <c:pt idx="1">
                  <c:v>Desk</c:v>
                </c:pt>
                <c:pt idx="2">
                  <c:v>Desk Lamp</c:v>
                </c:pt>
                <c:pt idx="3">
                  <c:v>Keyboard</c:v>
                </c:pt>
                <c:pt idx="4">
                  <c:v>Laptop</c:v>
                </c:pt>
                <c:pt idx="5">
                  <c:v>Mobile</c:v>
                </c:pt>
                <c:pt idx="6">
                  <c:v>Monitor</c:v>
                </c:pt>
                <c:pt idx="7">
                  <c:v>Mouse</c:v>
                </c:pt>
                <c:pt idx="8">
                  <c:v>Office Chair</c:v>
                </c:pt>
                <c:pt idx="9">
                  <c:v>Printer</c:v>
                </c:pt>
                <c:pt idx="10">
                  <c:v>Router</c:v>
                </c:pt>
                <c:pt idx="11">
                  <c:v>Tablet</c:v>
                </c:pt>
              </c:strCache>
            </c:strRef>
          </c:cat>
          <c:val>
            <c:numRef>
              <c:f>'sales by product'!$B$4:$B$16</c:f>
              <c:numCache>
                <c:formatCode>General</c:formatCode>
                <c:ptCount val="12"/>
                <c:pt idx="0">
                  <c:v>40400</c:v>
                </c:pt>
                <c:pt idx="1">
                  <c:v>37000</c:v>
                </c:pt>
                <c:pt idx="2">
                  <c:v>13500</c:v>
                </c:pt>
                <c:pt idx="3">
                  <c:v>35750</c:v>
                </c:pt>
                <c:pt idx="4">
                  <c:v>223000</c:v>
                </c:pt>
                <c:pt idx="5">
                  <c:v>104000</c:v>
                </c:pt>
                <c:pt idx="6">
                  <c:v>115600</c:v>
                </c:pt>
                <c:pt idx="7">
                  <c:v>18200</c:v>
                </c:pt>
                <c:pt idx="8">
                  <c:v>54300</c:v>
                </c:pt>
                <c:pt idx="9">
                  <c:v>76400</c:v>
                </c:pt>
                <c:pt idx="10">
                  <c:v>21300</c:v>
                </c:pt>
                <c:pt idx="11">
                  <c:v>217000</c:v>
                </c:pt>
              </c:numCache>
            </c:numRef>
          </c:val>
          <c:extLst>
            <c:ext xmlns:c16="http://schemas.microsoft.com/office/drawing/2014/chart" uri="{C3380CC4-5D6E-409C-BE32-E72D297353CC}">
              <c16:uniqueId val="{00000000-0930-4B48-B97C-BBC61B36F038}"/>
            </c:ext>
          </c:extLst>
        </c:ser>
        <c:ser>
          <c:idx val="1"/>
          <c:order val="1"/>
          <c:tx>
            <c:strRef>
              <c:f>'sales by product'!$C$3</c:f>
              <c:strCache>
                <c:ptCount val="1"/>
                <c:pt idx="0">
                  <c:v>Sum of Profit</c:v>
                </c:pt>
              </c:strCache>
            </c:strRef>
          </c:tx>
          <c:spPr>
            <a:solidFill>
              <a:schemeClr val="accent2"/>
            </a:solidFill>
            <a:ln>
              <a:noFill/>
            </a:ln>
            <a:effectLst/>
            <a:sp3d/>
          </c:spPr>
          <c:invertIfNegative val="0"/>
          <c:cat>
            <c:strRef>
              <c:f>'sales by product'!$A$4:$A$16</c:f>
              <c:strCache>
                <c:ptCount val="12"/>
                <c:pt idx="0">
                  <c:v>Bookshelf</c:v>
                </c:pt>
                <c:pt idx="1">
                  <c:v>Desk</c:v>
                </c:pt>
                <c:pt idx="2">
                  <c:v>Desk Lamp</c:v>
                </c:pt>
                <c:pt idx="3">
                  <c:v>Keyboard</c:v>
                </c:pt>
                <c:pt idx="4">
                  <c:v>Laptop</c:v>
                </c:pt>
                <c:pt idx="5">
                  <c:v>Mobile</c:v>
                </c:pt>
                <c:pt idx="6">
                  <c:v>Monitor</c:v>
                </c:pt>
                <c:pt idx="7">
                  <c:v>Mouse</c:v>
                </c:pt>
                <c:pt idx="8">
                  <c:v>Office Chair</c:v>
                </c:pt>
                <c:pt idx="9">
                  <c:v>Printer</c:v>
                </c:pt>
                <c:pt idx="10">
                  <c:v>Router</c:v>
                </c:pt>
                <c:pt idx="11">
                  <c:v>Tablet</c:v>
                </c:pt>
              </c:strCache>
            </c:strRef>
          </c:cat>
          <c:val>
            <c:numRef>
              <c:f>'sales by product'!$C$4:$C$16</c:f>
              <c:numCache>
                <c:formatCode>General</c:formatCode>
                <c:ptCount val="12"/>
                <c:pt idx="0">
                  <c:v>10000</c:v>
                </c:pt>
                <c:pt idx="1">
                  <c:v>9000</c:v>
                </c:pt>
                <c:pt idx="2">
                  <c:v>5500</c:v>
                </c:pt>
                <c:pt idx="3">
                  <c:v>13800</c:v>
                </c:pt>
                <c:pt idx="4">
                  <c:v>28000</c:v>
                </c:pt>
                <c:pt idx="5">
                  <c:v>17000</c:v>
                </c:pt>
                <c:pt idx="6">
                  <c:v>24000</c:v>
                </c:pt>
                <c:pt idx="7">
                  <c:v>6600</c:v>
                </c:pt>
                <c:pt idx="8">
                  <c:v>15600</c:v>
                </c:pt>
                <c:pt idx="9">
                  <c:v>15000</c:v>
                </c:pt>
                <c:pt idx="10">
                  <c:v>6000</c:v>
                </c:pt>
                <c:pt idx="11">
                  <c:v>36000</c:v>
                </c:pt>
              </c:numCache>
            </c:numRef>
          </c:val>
          <c:extLst>
            <c:ext xmlns:c16="http://schemas.microsoft.com/office/drawing/2014/chart" uri="{C3380CC4-5D6E-409C-BE32-E72D297353CC}">
              <c16:uniqueId val="{00000001-0930-4B48-B97C-BBC61B36F038}"/>
            </c:ext>
          </c:extLst>
        </c:ser>
        <c:dLbls>
          <c:showLegendKey val="0"/>
          <c:showVal val="0"/>
          <c:showCatName val="0"/>
          <c:showSerName val="0"/>
          <c:showPercent val="0"/>
          <c:showBubbleSize val="0"/>
        </c:dLbls>
        <c:gapWidth val="150"/>
        <c:shape val="box"/>
        <c:axId val="122797088"/>
        <c:axId val="122805728"/>
        <c:axId val="0"/>
      </c:bar3DChart>
      <c:catAx>
        <c:axId val="122797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5728"/>
        <c:crosses val="autoZero"/>
        <c:auto val="1"/>
        <c:lblAlgn val="ctr"/>
        <c:lblOffset val="100"/>
        <c:noMultiLvlLbl val="0"/>
      </c:catAx>
      <c:valAx>
        <c:axId val="122805728"/>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9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category!$A$4:$A$16</c:f>
              <c:strCache>
                <c:ptCount val="12"/>
                <c:pt idx="0">
                  <c:v>Amit</c:v>
                </c:pt>
                <c:pt idx="1">
                  <c:v>Anita</c:v>
                </c:pt>
                <c:pt idx="2">
                  <c:v>Arjun</c:v>
                </c:pt>
                <c:pt idx="3">
                  <c:v>Deepak</c:v>
                </c:pt>
                <c:pt idx="4">
                  <c:v>Kiran</c:v>
                </c:pt>
                <c:pt idx="5">
                  <c:v>Meena</c:v>
                </c:pt>
                <c:pt idx="6">
                  <c:v>Neha</c:v>
                </c:pt>
                <c:pt idx="7">
                  <c:v>Priya</c:v>
                </c:pt>
                <c:pt idx="8">
                  <c:v>Rahul</c:v>
                </c:pt>
                <c:pt idx="9">
                  <c:v>Ravi</c:v>
                </c:pt>
                <c:pt idx="10">
                  <c:v>Sunita</c:v>
                </c:pt>
                <c:pt idx="11">
                  <c:v>Suresh</c:v>
                </c:pt>
              </c:strCache>
            </c:strRef>
          </c:cat>
          <c:val>
            <c:numRef>
              <c:f>category!$B$4:$B$16</c:f>
              <c:numCache>
                <c:formatCode>General</c:formatCode>
                <c:ptCount val="12"/>
                <c:pt idx="0">
                  <c:v>3</c:v>
                </c:pt>
                <c:pt idx="1">
                  <c:v>3</c:v>
                </c:pt>
                <c:pt idx="2">
                  <c:v>2</c:v>
                </c:pt>
                <c:pt idx="3">
                  <c:v>2</c:v>
                </c:pt>
                <c:pt idx="4">
                  <c:v>2</c:v>
                </c:pt>
                <c:pt idx="5">
                  <c:v>2</c:v>
                </c:pt>
                <c:pt idx="6">
                  <c:v>3</c:v>
                </c:pt>
                <c:pt idx="7">
                  <c:v>3</c:v>
                </c:pt>
                <c:pt idx="8">
                  <c:v>3</c:v>
                </c:pt>
                <c:pt idx="9">
                  <c:v>2</c:v>
                </c:pt>
                <c:pt idx="10">
                  <c:v>2</c:v>
                </c:pt>
                <c:pt idx="11">
                  <c:v>3</c:v>
                </c:pt>
              </c:numCache>
            </c:numRef>
          </c:val>
          <c:extLst>
            <c:ext xmlns:c16="http://schemas.microsoft.com/office/drawing/2014/chart" uri="{C3380CC4-5D6E-409C-BE32-E72D297353CC}">
              <c16:uniqueId val="{00000000-78B2-4433-B383-C30374481E61}"/>
            </c:ext>
          </c:extLst>
        </c:ser>
        <c:dLbls>
          <c:showLegendKey val="0"/>
          <c:showVal val="0"/>
          <c:showCatName val="0"/>
          <c:showSerName val="0"/>
          <c:showPercent val="0"/>
          <c:showBubbleSize val="0"/>
        </c:dLbls>
        <c:gapWidth val="219"/>
        <c:overlap val="-27"/>
        <c:axId val="66962224"/>
        <c:axId val="66962704"/>
      </c:barChart>
      <c:catAx>
        <c:axId val="6696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2704"/>
        <c:crosses val="autoZero"/>
        <c:auto val="1"/>
        <c:lblAlgn val="ctr"/>
        <c:lblOffset val="100"/>
        <c:noMultiLvlLbl val="0"/>
      </c:catAx>
      <c:valAx>
        <c:axId val="6696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[sales_performance_analysis.xlsx]product vs cost!PivotTable4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vs Cost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vs cost'!$B$3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vs cost'!$A$4:$A$16</c:f>
              <c:strCache>
                <c:ptCount val="12"/>
                <c:pt idx="0">
                  <c:v>Bookshelf</c:v>
                </c:pt>
                <c:pt idx="1">
                  <c:v>Desk</c:v>
                </c:pt>
                <c:pt idx="2">
                  <c:v>Desk Lamp</c:v>
                </c:pt>
                <c:pt idx="3">
                  <c:v>Keyboard</c:v>
                </c:pt>
                <c:pt idx="4">
                  <c:v>Laptop</c:v>
                </c:pt>
                <c:pt idx="5">
                  <c:v>Mobile</c:v>
                </c:pt>
                <c:pt idx="6">
                  <c:v>Monitor</c:v>
                </c:pt>
                <c:pt idx="7">
                  <c:v>Mouse</c:v>
                </c:pt>
                <c:pt idx="8">
                  <c:v>Office Chair</c:v>
                </c:pt>
                <c:pt idx="9">
                  <c:v>Printer</c:v>
                </c:pt>
                <c:pt idx="10">
                  <c:v>Router</c:v>
                </c:pt>
                <c:pt idx="11">
                  <c:v>Tablet</c:v>
                </c:pt>
              </c:strCache>
            </c:strRef>
          </c:cat>
          <c:val>
            <c:numRef>
              <c:f>'product vs cost'!$B$4:$B$16</c:f>
              <c:numCache>
                <c:formatCode>General</c:formatCode>
                <c:ptCount val="12"/>
                <c:pt idx="0">
                  <c:v>12200</c:v>
                </c:pt>
                <c:pt idx="1">
                  <c:v>19000</c:v>
                </c:pt>
                <c:pt idx="2">
                  <c:v>1450</c:v>
                </c:pt>
                <c:pt idx="3">
                  <c:v>2850</c:v>
                </c:pt>
                <c:pt idx="4">
                  <c:v>147000</c:v>
                </c:pt>
                <c:pt idx="5">
                  <c:v>35000</c:v>
                </c:pt>
                <c:pt idx="6">
                  <c:v>34300</c:v>
                </c:pt>
                <c:pt idx="7">
                  <c:v>1050</c:v>
                </c:pt>
                <c:pt idx="8">
                  <c:v>9700</c:v>
                </c:pt>
                <c:pt idx="9">
                  <c:v>36700</c:v>
                </c:pt>
                <c:pt idx="10">
                  <c:v>5100</c:v>
                </c:pt>
                <c:pt idx="11">
                  <c:v>45000</c:v>
                </c:pt>
              </c:numCache>
            </c:numRef>
          </c:val>
          <c:extLst>
            <c:ext xmlns:c16="http://schemas.microsoft.com/office/drawing/2014/chart" uri="{C3380CC4-5D6E-409C-BE32-E72D297353CC}">
              <c16:uniqueId val="{00000000-4941-48CA-B558-A92AAB0A24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[sales_performance_analysis.xlsx]category!PivotTable3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 by Salesperson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category!$A$4:$A$16</c:f>
              <c:strCache>
                <c:ptCount val="12"/>
                <c:pt idx="0">
                  <c:v>Amit</c:v>
                </c:pt>
                <c:pt idx="1">
                  <c:v>Anita</c:v>
                </c:pt>
                <c:pt idx="2">
                  <c:v>Arjun</c:v>
                </c:pt>
                <c:pt idx="3">
                  <c:v>Deepak</c:v>
                </c:pt>
                <c:pt idx="4">
                  <c:v>Kiran</c:v>
                </c:pt>
                <c:pt idx="5">
                  <c:v>Meena</c:v>
                </c:pt>
                <c:pt idx="6">
                  <c:v>Neha</c:v>
                </c:pt>
                <c:pt idx="7">
                  <c:v>Priya</c:v>
                </c:pt>
                <c:pt idx="8">
                  <c:v>Rahul</c:v>
                </c:pt>
                <c:pt idx="9">
                  <c:v>Ravi</c:v>
                </c:pt>
                <c:pt idx="10">
                  <c:v>Sunita</c:v>
                </c:pt>
                <c:pt idx="11">
                  <c:v>Suresh</c:v>
                </c:pt>
              </c:strCache>
            </c:strRef>
          </c:cat>
          <c:val>
            <c:numRef>
              <c:f>category!$B$4:$B$16</c:f>
              <c:numCache>
                <c:formatCode>General</c:formatCode>
                <c:ptCount val="12"/>
                <c:pt idx="0">
                  <c:v>3</c:v>
                </c:pt>
                <c:pt idx="1">
                  <c:v>3</c:v>
                </c:pt>
                <c:pt idx="2">
                  <c:v>2</c:v>
                </c:pt>
                <c:pt idx="3">
                  <c:v>2</c:v>
                </c:pt>
                <c:pt idx="4">
                  <c:v>2</c:v>
                </c:pt>
                <c:pt idx="5">
                  <c:v>2</c:v>
                </c:pt>
                <c:pt idx="6">
                  <c:v>3</c:v>
                </c:pt>
                <c:pt idx="7">
                  <c:v>3</c:v>
                </c:pt>
                <c:pt idx="8">
                  <c:v>3</c:v>
                </c:pt>
                <c:pt idx="9">
                  <c:v>2</c:v>
                </c:pt>
                <c:pt idx="10">
                  <c:v>2</c:v>
                </c:pt>
                <c:pt idx="11">
                  <c:v>3</c:v>
                </c:pt>
              </c:numCache>
            </c:numRef>
          </c:val>
          <c:extLst>
            <c:ext xmlns:c16="http://schemas.microsoft.com/office/drawing/2014/chart" uri="{C3380CC4-5D6E-409C-BE32-E72D297353CC}">
              <c16:uniqueId val="{00000000-1D93-4C52-B9AA-C3F608DA5E02}"/>
            </c:ext>
          </c:extLst>
        </c:ser>
        <c:dLbls>
          <c:showLegendKey val="0"/>
          <c:showVal val="0"/>
          <c:showCatName val="0"/>
          <c:showSerName val="0"/>
          <c:showPercent val="0"/>
          <c:showBubbleSize val="0"/>
        </c:dLbls>
        <c:gapWidth val="219"/>
        <c:overlap val="-27"/>
        <c:axId val="66962224"/>
        <c:axId val="66962704"/>
      </c:barChart>
      <c:catAx>
        <c:axId val="6696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2704"/>
        <c:crosses val="autoZero"/>
        <c:auto val="1"/>
        <c:lblAlgn val="ctr"/>
        <c:lblOffset val="100"/>
        <c:noMultiLvlLbl val="0"/>
      </c:catAx>
      <c:valAx>
        <c:axId val="6696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[sales_performance_analysis.xlsx]Region cost!PivotTable1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total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cost'!$B$3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cost'!$A$4:$A$8</c:f>
              <c:strCache>
                <c:ptCount val="4"/>
                <c:pt idx="0">
                  <c:v>East</c:v>
                </c:pt>
                <c:pt idx="1">
                  <c:v>North</c:v>
                </c:pt>
                <c:pt idx="2">
                  <c:v>South</c:v>
                </c:pt>
                <c:pt idx="3">
                  <c:v>West</c:v>
                </c:pt>
              </c:strCache>
            </c:strRef>
          </c:cat>
          <c:val>
            <c:numRef>
              <c:f>'Region cost'!$B$4:$B$8</c:f>
              <c:numCache>
                <c:formatCode>General</c:formatCode>
                <c:ptCount val="4"/>
                <c:pt idx="0">
                  <c:v>164700</c:v>
                </c:pt>
                <c:pt idx="1">
                  <c:v>306900</c:v>
                </c:pt>
                <c:pt idx="2">
                  <c:v>144850</c:v>
                </c:pt>
                <c:pt idx="3">
                  <c:v>153500</c:v>
                </c:pt>
              </c:numCache>
            </c:numRef>
          </c:val>
          <c:extLst>
            <c:ext xmlns:c16="http://schemas.microsoft.com/office/drawing/2014/chart" uri="{C3380CC4-5D6E-409C-BE32-E72D297353CC}">
              <c16:uniqueId val="{00000000-E876-4664-A99C-03E75FBFB42F}"/>
            </c:ext>
          </c:extLst>
        </c:ser>
        <c:dLbls>
          <c:showLegendKey val="0"/>
          <c:showVal val="1"/>
          <c:showCatName val="0"/>
          <c:showSerName val="0"/>
          <c:showPercent val="0"/>
          <c:showBubbleSize val="0"/>
        </c:dLbls>
        <c:gapWidth val="150"/>
        <c:shape val="box"/>
        <c:axId val="71181344"/>
        <c:axId val="71184704"/>
        <c:axId val="0"/>
      </c:bar3DChart>
      <c:catAx>
        <c:axId val="7118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4704"/>
        <c:crosses val="autoZero"/>
        <c:auto val="1"/>
        <c:lblAlgn val="ctr"/>
        <c:lblOffset val="100"/>
        <c:noMultiLvlLbl val="0"/>
      </c:catAx>
      <c:valAx>
        <c:axId val="7118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[sales_performance_analysis.xlsx]sales by product!PivotTable2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product'!$B$3</c:f>
              <c:strCache>
                <c:ptCount val="1"/>
                <c:pt idx="0">
                  <c:v>Sum of Revenue</c:v>
                </c:pt>
              </c:strCache>
            </c:strRef>
          </c:tx>
          <c:spPr>
            <a:solidFill>
              <a:schemeClr val="accent1"/>
            </a:solidFill>
            <a:ln>
              <a:noFill/>
            </a:ln>
            <a:effectLst/>
            <a:sp3d/>
          </c:spPr>
          <c:invertIfNegative val="0"/>
          <c:cat>
            <c:strRef>
              <c:f>'sales by product'!$A$4:$A$16</c:f>
              <c:strCache>
                <c:ptCount val="12"/>
                <c:pt idx="0">
                  <c:v>Bookshelf</c:v>
                </c:pt>
                <c:pt idx="1">
                  <c:v>Desk</c:v>
                </c:pt>
                <c:pt idx="2">
                  <c:v>Desk Lamp</c:v>
                </c:pt>
                <c:pt idx="3">
                  <c:v>Keyboard</c:v>
                </c:pt>
                <c:pt idx="4">
                  <c:v>Laptop</c:v>
                </c:pt>
                <c:pt idx="5">
                  <c:v>Mobile</c:v>
                </c:pt>
                <c:pt idx="6">
                  <c:v>Monitor</c:v>
                </c:pt>
                <c:pt idx="7">
                  <c:v>Mouse</c:v>
                </c:pt>
                <c:pt idx="8">
                  <c:v>Office Chair</c:v>
                </c:pt>
                <c:pt idx="9">
                  <c:v>Printer</c:v>
                </c:pt>
                <c:pt idx="10">
                  <c:v>Router</c:v>
                </c:pt>
                <c:pt idx="11">
                  <c:v>Tablet</c:v>
                </c:pt>
              </c:strCache>
            </c:strRef>
          </c:cat>
          <c:val>
            <c:numRef>
              <c:f>'sales by product'!$B$4:$B$16</c:f>
              <c:numCache>
                <c:formatCode>General</c:formatCode>
                <c:ptCount val="12"/>
                <c:pt idx="0">
                  <c:v>40400</c:v>
                </c:pt>
                <c:pt idx="1">
                  <c:v>37000</c:v>
                </c:pt>
                <c:pt idx="2">
                  <c:v>13500</c:v>
                </c:pt>
                <c:pt idx="3">
                  <c:v>35750</c:v>
                </c:pt>
                <c:pt idx="4">
                  <c:v>223000</c:v>
                </c:pt>
                <c:pt idx="5">
                  <c:v>104000</c:v>
                </c:pt>
                <c:pt idx="6">
                  <c:v>115600</c:v>
                </c:pt>
                <c:pt idx="7">
                  <c:v>18200</c:v>
                </c:pt>
                <c:pt idx="8">
                  <c:v>54300</c:v>
                </c:pt>
                <c:pt idx="9">
                  <c:v>76400</c:v>
                </c:pt>
                <c:pt idx="10">
                  <c:v>21300</c:v>
                </c:pt>
                <c:pt idx="11">
                  <c:v>217000</c:v>
                </c:pt>
              </c:numCache>
            </c:numRef>
          </c:val>
          <c:extLst>
            <c:ext xmlns:c16="http://schemas.microsoft.com/office/drawing/2014/chart" uri="{C3380CC4-5D6E-409C-BE32-E72D297353CC}">
              <c16:uniqueId val="{00000000-4C74-4E50-A1A0-9E0F2A18D6CA}"/>
            </c:ext>
          </c:extLst>
        </c:ser>
        <c:ser>
          <c:idx val="1"/>
          <c:order val="1"/>
          <c:tx>
            <c:strRef>
              <c:f>'sales by product'!$C$3</c:f>
              <c:strCache>
                <c:ptCount val="1"/>
                <c:pt idx="0">
                  <c:v>Sum of Profit</c:v>
                </c:pt>
              </c:strCache>
            </c:strRef>
          </c:tx>
          <c:spPr>
            <a:solidFill>
              <a:schemeClr val="accent2"/>
            </a:solidFill>
            <a:ln>
              <a:noFill/>
            </a:ln>
            <a:effectLst/>
            <a:sp3d/>
          </c:spPr>
          <c:invertIfNegative val="0"/>
          <c:cat>
            <c:strRef>
              <c:f>'sales by product'!$A$4:$A$16</c:f>
              <c:strCache>
                <c:ptCount val="12"/>
                <c:pt idx="0">
                  <c:v>Bookshelf</c:v>
                </c:pt>
                <c:pt idx="1">
                  <c:v>Desk</c:v>
                </c:pt>
                <c:pt idx="2">
                  <c:v>Desk Lamp</c:v>
                </c:pt>
                <c:pt idx="3">
                  <c:v>Keyboard</c:v>
                </c:pt>
                <c:pt idx="4">
                  <c:v>Laptop</c:v>
                </c:pt>
                <c:pt idx="5">
                  <c:v>Mobile</c:v>
                </c:pt>
                <c:pt idx="6">
                  <c:v>Monitor</c:v>
                </c:pt>
                <c:pt idx="7">
                  <c:v>Mouse</c:v>
                </c:pt>
                <c:pt idx="8">
                  <c:v>Office Chair</c:v>
                </c:pt>
                <c:pt idx="9">
                  <c:v>Printer</c:v>
                </c:pt>
                <c:pt idx="10">
                  <c:v>Router</c:v>
                </c:pt>
                <c:pt idx="11">
                  <c:v>Tablet</c:v>
                </c:pt>
              </c:strCache>
            </c:strRef>
          </c:cat>
          <c:val>
            <c:numRef>
              <c:f>'sales by product'!$C$4:$C$16</c:f>
              <c:numCache>
                <c:formatCode>General</c:formatCode>
                <c:ptCount val="12"/>
                <c:pt idx="0">
                  <c:v>10000</c:v>
                </c:pt>
                <c:pt idx="1">
                  <c:v>9000</c:v>
                </c:pt>
                <c:pt idx="2">
                  <c:v>5500</c:v>
                </c:pt>
                <c:pt idx="3">
                  <c:v>13800</c:v>
                </c:pt>
                <c:pt idx="4">
                  <c:v>28000</c:v>
                </c:pt>
                <c:pt idx="5">
                  <c:v>17000</c:v>
                </c:pt>
                <c:pt idx="6">
                  <c:v>24000</c:v>
                </c:pt>
                <c:pt idx="7">
                  <c:v>6600</c:v>
                </c:pt>
                <c:pt idx="8">
                  <c:v>15600</c:v>
                </c:pt>
                <c:pt idx="9">
                  <c:v>15000</c:v>
                </c:pt>
                <c:pt idx="10">
                  <c:v>6000</c:v>
                </c:pt>
                <c:pt idx="11">
                  <c:v>36000</c:v>
                </c:pt>
              </c:numCache>
            </c:numRef>
          </c:val>
          <c:extLst>
            <c:ext xmlns:c16="http://schemas.microsoft.com/office/drawing/2014/chart" uri="{C3380CC4-5D6E-409C-BE32-E72D297353CC}">
              <c16:uniqueId val="{00000001-4C74-4E50-A1A0-9E0F2A18D6CA}"/>
            </c:ext>
          </c:extLst>
        </c:ser>
        <c:dLbls>
          <c:showLegendKey val="0"/>
          <c:showVal val="0"/>
          <c:showCatName val="0"/>
          <c:showSerName val="0"/>
          <c:showPercent val="0"/>
          <c:showBubbleSize val="0"/>
        </c:dLbls>
        <c:gapWidth val="150"/>
        <c:shape val="box"/>
        <c:axId val="122797088"/>
        <c:axId val="122805728"/>
        <c:axId val="0"/>
      </c:bar3DChart>
      <c:catAx>
        <c:axId val="1227970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5728"/>
        <c:crosses val="autoZero"/>
        <c:auto val="1"/>
        <c:lblAlgn val="ctr"/>
        <c:lblOffset val="100"/>
        <c:noMultiLvlLbl val="0"/>
      </c:catAx>
      <c:valAx>
        <c:axId val="122805728"/>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9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7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[sales_performance_analysis.xlsx]product vs cost!PivotTable4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vs Cost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'product vs cost'!$B$3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E7-4747-945D-910D08DE5B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E7-4747-945D-910D08DE5B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E7-4747-945D-910D08DE5B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E7-4747-945D-910D08DE5BC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E7-4747-945D-910D08DE5BC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9E7-4747-945D-910D08DE5BC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9E7-4747-945D-910D08DE5BC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9E7-4747-945D-910D08DE5BC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9E7-4747-945D-910D08DE5BC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9E7-4747-945D-910D08DE5BC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9E7-4747-945D-910D08DE5BC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9E7-4747-945D-910D08DE5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vs cost'!$A$4:$A$16</c:f>
              <c:strCache>
                <c:ptCount val="12"/>
                <c:pt idx="0">
                  <c:v>Bookshelf</c:v>
                </c:pt>
                <c:pt idx="1">
                  <c:v>Desk</c:v>
                </c:pt>
                <c:pt idx="2">
                  <c:v>Desk Lamp</c:v>
                </c:pt>
                <c:pt idx="3">
                  <c:v>Keyboard</c:v>
                </c:pt>
                <c:pt idx="4">
                  <c:v>Laptop</c:v>
                </c:pt>
                <c:pt idx="5">
                  <c:v>Mobile</c:v>
                </c:pt>
                <c:pt idx="6">
                  <c:v>Monitor</c:v>
                </c:pt>
                <c:pt idx="7">
                  <c:v>Mouse</c:v>
                </c:pt>
                <c:pt idx="8">
                  <c:v>Office Chair</c:v>
                </c:pt>
                <c:pt idx="9">
                  <c:v>Printer</c:v>
                </c:pt>
                <c:pt idx="10">
                  <c:v>Router</c:v>
                </c:pt>
                <c:pt idx="11">
                  <c:v>Tablet</c:v>
                </c:pt>
              </c:strCache>
            </c:strRef>
          </c:cat>
          <c:val>
            <c:numRef>
              <c:f>'product vs cost'!$B$4:$B$16</c:f>
              <c:numCache>
                <c:formatCode>General</c:formatCode>
                <c:ptCount val="12"/>
                <c:pt idx="0">
                  <c:v>12200</c:v>
                </c:pt>
                <c:pt idx="1">
                  <c:v>19000</c:v>
                </c:pt>
                <c:pt idx="2">
                  <c:v>1450</c:v>
                </c:pt>
                <c:pt idx="3">
                  <c:v>2850</c:v>
                </c:pt>
                <c:pt idx="4">
                  <c:v>147000</c:v>
                </c:pt>
                <c:pt idx="5">
                  <c:v>35000</c:v>
                </c:pt>
                <c:pt idx="6">
                  <c:v>34300</c:v>
                </c:pt>
                <c:pt idx="7">
                  <c:v>1050</c:v>
                </c:pt>
                <c:pt idx="8">
                  <c:v>9700</c:v>
                </c:pt>
                <c:pt idx="9">
                  <c:v>36700</c:v>
                </c:pt>
                <c:pt idx="10">
                  <c:v>5100</c:v>
                </c:pt>
                <c:pt idx="11">
                  <c:v>45000</c:v>
                </c:pt>
              </c:numCache>
            </c:numRef>
          </c:val>
          <c:extLst>
            <c:ext xmlns:c16="http://schemas.microsoft.com/office/drawing/2014/chart" uri="{C3380CC4-5D6E-409C-BE32-E72D297353CC}">
              <c16:uniqueId val="{00000018-99E7-4747-945D-910D08DE5BC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[sales_performance_analysis.xlsx]top products!PivotTable6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products'!$B$3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'top products'!$A$4:$A$9</c:f>
              <c:strCache>
                <c:ptCount val="5"/>
                <c:pt idx="0">
                  <c:v>Laptop</c:v>
                </c:pt>
                <c:pt idx="1">
                  <c:v>Mobile</c:v>
                </c:pt>
                <c:pt idx="2">
                  <c:v>Monitor</c:v>
                </c:pt>
                <c:pt idx="3">
                  <c:v>Office Chair</c:v>
                </c:pt>
                <c:pt idx="4">
                  <c:v>Tablet</c:v>
                </c:pt>
              </c:strCache>
            </c:strRef>
          </c:cat>
          <c:val>
            <c:numRef>
              <c:f>'top products'!$B$4:$B$9</c:f>
              <c:numCache>
                <c:formatCode>General</c:formatCode>
                <c:ptCount val="5"/>
                <c:pt idx="0">
                  <c:v>28000</c:v>
                </c:pt>
                <c:pt idx="1">
                  <c:v>17000</c:v>
                </c:pt>
                <c:pt idx="2">
                  <c:v>24000</c:v>
                </c:pt>
                <c:pt idx="3">
                  <c:v>15600</c:v>
                </c:pt>
                <c:pt idx="4">
                  <c:v>36000</c:v>
                </c:pt>
              </c:numCache>
            </c:numRef>
          </c:val>
          <c:smooth val="0"/>
          <c:extLst>
            <c:ext xmlns:c16="http://schemas.microsoft.com/office/drawing/2014/chart" uri="{C3380CC4-5D6E-409C-BE32-E72D297353CC}">
              <c16:uniqueId val="{00000000-3267-4555-B3B3-346F7A244569}"/>
            </c:ext>
          </c:extLst>
        </c:ser>
        <c:dLbls>
          <c:showLegendKey val="0"/>
          <c:showVal val="0"/>
          <c:showCatName val="0"/>
          <c:showSerName val="0"/>
          <c:showPercent val="0"/>
          <c:showBubbleSize val="0"/>
        </c:dLbls>
        <c:marker val="1"/>
        <c:smooth val="0"/>
        <c:axId val="65947152"/>
        <c:axId val="65954352"/>
      </c:lineChart>
      <c:catAx>
        <c:axId val="65947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352"/>
        <c:crosses val="autoZero"/>
        <c:auto val="1"/>
        <c:lblAlgn val="ctr"/>
        <c:lblOffset val="100"/>
        <c:noMultiLvlLbl val="0"/>
      </c:catAx>
      <c:valAx>
        <c:axId val="659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[sales_performance_analysis.xlsx]profit!PivotTable5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profit!$B$3:$B$4</c:f>
              <c:strCache>
                <c:ptCount val="1"/>
                <c:pt idx="0">
                  <c:v>Accessories</c:v>
                </c:pt>
              </c:strCache>
            </c:strRef>
          </c:tx>
          <c:spPr>
            <a:ln w="28575" cap="rnd">
              <a:solidFill>
                <a:schemeClr val="accent1"/>
              </a:solidFill>
              <a:round/>
            </a:ln>
            <a:effectLst/>
          </c:spPr>
          <c:marker>
            <c:symbol val="none"/>
          </c:marker>
          <c:cat>
            <c:strRef>
              <c:f>profit!$A$5:$A$9</c:f>
              <c:strCache>
                <c:ptCount val="4"/>
                <c:pt idx="0">
                  <c:v>East</c:v>
                </c:pt>
                <c:pt idx="1">
                  <c:v>North</c:v>
                </c:pt>
                <c:pt idx="2">
                  <c:v>South</c:v>
                </c:pt>
                <c:pt idx="3">
                  <c:v>West</c:v>
                </c:pt>
              </c:strCache>
            </c:strRef>
          </c:cat>
          <c:val>
            <c:numRef>
              <c:f>profit!$B$5:$B$9</c:f>
              <c:numCache>
                <c:formatCode>0%</c:formatCode>
                <c:ptCount val="4"/>
                <c:pt idx="0">
                  <c:v>0.41666666666666669</c:v>
                </c:pt>
                <c:pt idx="3">
                  <c:v>0.4</c:v>
                </c:pt>
              </c:numCache>
            </c:numRef>
          </c:val>
          <c:smooth val="0"/>
          <c:extLst>
            <c:ext xmlns:c16="http://schemas.microsoft.com/office/drawing/2014/chart" uri="{C3380CC4-5D6E-409C-BE32-E72D297353CC}">
              <c16:uniqueId val="{00000000-F5F7-4245-B405-10CC2973D4B8}"/>
            </c:ext>
          </c:extLst>
        </c:ser>
        <c:ser>
          <c:idx val="1"/>
          <c:order val="1"/>
          <c:tx>
            <c:strRef>
              <c:f>profit!$C$3:$C$4</c:f>
              <c:strCache>
                <c:ptCount val="1"/>
                <c:pt idx="0">
                  <c:v>Electronics</c:v>
                </c:pt>
              </c:strCache>
            </c:strRef>
          </c:tx>
          <c:spPr>
            <a:ln w="28575" cap="rnd">
              <a:solidFill>
                <a:schemeClr val="accent2"/>
              </a:solidFill>
              <a:round/>
            </a:ln>
            <a:effectLst/>
          </c:spPr>
          <c:marker>
            <c:symbol val="none"/>
          </c:marker>
          <c:cat>
            <c:strRef>
              <c:f>profit!$A$5:$A$9</c:f>
              <c:strCache>
                <c:ptCount val="4"/>
                <c:pt idx="0">
                  <c:v>East</c:v>
                </c:pt>
                <c:pt idx="1">
                  <c:v>North</c:v>
                </c:pt>
                <c:pt idx="2">
                  <c:v>South</c:v>
                </c:pt>
                <c:pt idx="3">
                  <c:v>West</c:v>
                </c:pt>
              </c:strCache>
            </c:strRef>
          </c:cat>
          <c:val>
            <c:numRef>
              <c:f>profit!$C$5:$C$9</c:f>
              <c:numCache>
                <c:formatCode>0%</c:formatCode>
                <c:ptCount val="4"/>
                <c:pt idx="0">
                  <c:v>0.80704275055454722</c:v>
                </c:pt>
                <c:pt idx="1">
                  <c:v>1.6052938223716213</c:v>
                </c:pt>
                <c:pt idx="2">
                  <c:v>1.2939149560117302</c:v>
                </c:pt>
                <c:pt idx="3">
                  <c:v>1.1692355889724311</c:v>
                </c:pt>
              </c:numCache>
            </c:numRef>
          </c:val>
          <c:smooth val="0"/>
          <c:extLst>
            <c:ext xmlns:c16="http://schemas.microsoft.com/office/drawing/2014/chart" uri="{C3380CC4-5D6E-409C-BE32-E72D297353CC}">
              <c16:uniqueId val="{00000005-F5F7-4245-B405-10CC2973D4B8}"/>
            </c:ext>
          </c:extLst>
        </c:ser>
        <c:ser>
          <c:idx val="2"/>
          <c:order val="2"/>
          <c:tx>
            <c:strRef>
              <c:f>profit!$D$3:$D$4</c:f>
              <c:strCache>
                <c:ptCount val="1"/>
                <c:pt idx="0">
                  <c:v>Furniture</c:v>
                </c:pt>
              </c:strCache>
            </c:strRef>
          </c:tx>
          <c:spPr>
            <a:ln w="28575" cap="rnd">
              <a:solidFill>
                <a:schemeClr val="accent3"/>
              </a:solidFill>
              <a:round/>
            </a:ln>
            <a:effectLst/>
          </c:spPr>
          <c:marker>
            <c:symbol val="none"/>
          </c:marker>
          <c:cat>
            <c:strRef>
              <c:f>profit!$A$5:$A$9</c:f>
              <c:strCache>
                <c:ptCount val="4"/>
                <c:pt idx="0">
                  <c:v>East</c:v>
                </c:pt>
                <c:pt idx="1">
                  <c:v>North</c:v>
                </c:pt>
                <c:pt idx="2">
                  <c:v>South</c:v>
                </c:pt>
                <c:pt idx="3">
                  <c:v>West</c:v>
                </c:pt>
              </c:strCache>
            </c:strRef>
          </c:cat>
          <c:val>
            <c:numRef>
              <c:f>profit!$D$5:$D$9</c:f>
              <c:numCache>
                <c:formatCode>0%</c:formatCode>
                <c:ptCount val="4"/>
                <c:pt idx="0">
                  <c:v>0.53888888888888886</c:v>
                </c:pt>
                <c:pt idx="1">
                  <c:v>0.28888888888888886</c:v>
                </c:pt>
                <c:pt idx="2">
                  <c:v>0.75728036544579491</c:v>
                </c:pt>
                <c:pt idx="3">
                  <c:v>0.25</c:v>
                </c:pt>
              </c:numCache>
            </c:numRef>
          </c:val>
          <c:smooth val="0"/>
          <c:extLst>
            <c:ext xmlns:c16="http://schemas.microsoft.com/office/drawing/2014/chart" uri="{C3380CC4-5D6E-409C-BE32-E72D297353CC}">
              <c16:uniqueId val="{00000006-F5F7-4245-B405-10CC2973D4B8}"/>
            </c:ext>
          </c:extLst>
        </c:ser>
        <c:dLbls>
          <c:showLegendKey val="0"/>
          <c:showVal val="0"/>
          <c:showCatName val="0"/>
          <c:showSerName val="0"/>
          <c:showPercent val="0"/>
          <c:showBubbleSize val="0"/>
        </c:dLbls>
        <c:smooth val="0"/>
        <c:axId val="274583024"/>
        <c:axId val="274583504"/>
      </c:lineChart>
      <c:catAx>
        <c:axId val="274583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83504"/>
        <c:crosses val="autoZero"/>
        <c:auto val="1"/>
        <c:lblAlgn val="ctr"/>
        <c:lblOffset val="100"/>
        <c:noMultiLvlLbl val="0"/>
      </c:catAx>
      <c:valAx>
        <c:axId val="274583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8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[sales_performance_analysis.xlsx]top products!PivotTable6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products'!$B$3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'top products'!$A$4:$A$9</c:f>
              <c:strCache>
                <c:ptCount val="5"/>
                <c:pt idx="0">
                  <c:v>Laptop</c:v>
                </c:pt>
                <c:pt idx="1">
                  <c:v>Mobile</c:v>
                </c:pt>
                <c:pt idx="2">
                  <c:v>Monitor</c:v>
                </c:pt>
                <c:pt idx="3">
                  <c:v>Office Chair</c:v>
                </c:pt>
                <c:pt idx="4">
                  <c:v>Tablet</c:v>
                </c:pt>
              </c:strCache>
            </c:strRef>
          </c:cat>
          <c:val>
            <c:numRef>
              <c:f>'top products'!$B$4:$B$9</c:f>
              <c:numCache>
                <c:formatCode>General</c:formatCode>
                <c:ptCount val="5"/>
                <c:pt idx="0">
                  <c:v>28000</c:v>
                </c:pt>
                <c:pt idx="1">
                  <c:v>17000</c:v>
                </c:pt>
                <c:pt idx="2">
                  <c:v>24000</c:v>
                </c:pt>
                <c:pt idx="3">
                  <c:v>15600</c:v>
                </c:pt>
                <c:pt idx="4">
                  <c:v>36000</c:v>
                </c:pt>
              </c:numCache>
            </c:numRef>
          </c:val>
          <c:smooth val="0"/>
          <c:extLst>
            <c:ext xmlns:c16="http://schemas.microsoft.com/office/drawing/2014/chart" uri="{C3380CC4-5D6E-409C-BE32-E72D297353CC}">
              <c16:uniqueId val="{00000000-794C-4E44-B776-BF3146190A0D}"/>
            </c:ext>
          </c:extLst>
        </c:ser>
        <c:dLbls>
          <c:showLegendKey val="0"/>
          <c:showVal val="0"/>
          <c:showCatName val="0"/>
          <c:showSerName val="0"/>
          <c:showPercent val="0"/>
          <c:showBubbleSize val="0"/>
        </c:dLbls>
        <c:marker val="1"/>
        <c:smooth val="0"/>
        <c:axId val="65947152"/>
        <c:axId val="65954352"/>
      </c:lineChart>
      <c:catAx>
        <c:axId val="65947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54352"/>
        <c:crosses val="autoZero"/>
        <c:auto val="1"/>
        <c:lblAlgn val="ctr"/>
        <c:lblOffset val="100"/>
        <c:noMultiLvlLbl val="0"/>
      </c:catAx>
      <c:valAx>
        <c:axId val="6595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4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91440</xdr:colOff>
      <xdr:row>1</xdr:row>
      <xdr:rowOff>121920</xdr:rowOff>
    </xdr:from>
    <xdr:to>
      <xdr:col>11</xdr:col>
      <xdr:colOff>419100</xdr:colOff>
      <xdr:row>14</xdr:row>
      <xdr:rowOff>45720</xdr:rowOff>
    </xdr:to>
    <xdr:graphicFrame macro="">
      <xdr:nvGraphicFramePr>
        <xdr:cNvPr id="3" name="Chart 2">
          <a:extLst>
            <a:ext uri="{FF2B5EF4-FFF2-40B4-BE49-F238E27FC236}">
              <a16:creationId xmlns:a16="http://schemas.microsoft.com/office/drawing/2014/main" id="{1DA42EFA-CCCA-1B71-0730-82C6FA3A38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419100</xdr:colOff>
      <xdr:row>6</xdr:row>
      <xdr:rowOff>45720</xdr:rowOff>
    </xdr:from>
    <xdr:to>
      <xdr:col>10</xdr:col>
      <xdr:colOff>289560</xdr:colOff>
      <xdr:row>17</xdr:row>
      <xdr:rowOff>99060</xdr:rowOff>
    </xdr:to>
    <xdr:graphicFrame macro="">
      <xdr:nvGraphicFramePr>
        <xdr:cNvPr id="2" name="Chart 1">
          <a:extLst>
            <a:ext uri="{FF2B5EF4-FFF2-40B4-BE49-F238E27FC236}">
              <a16:creationId xmlns:a16="http://schemas.microsoft.com/office/drawing/2014/main" id="{120C340A-EFDB-E083-7D35-A238F8A74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822960</xdr:colOff>
      <xdr:row>1</xdr:row>
      <xdr:rowOff>99060</xdr:rowOff>
    </xdr:from>
    <xdr:to>
      <xdr:col>8</xdr:col>
      <xdr:colOff>441960</xdr:colOff>
      <xdr:row>12</xdr:row>
      <xdr:rowOff>121920</xdr:rowOff>
    </xdr:to>
    <xdr:graphicFrame macro="">
      <xdr:nvGraphicFramePr>
        <xdr:cNvPr id="2" name="Chart 1">
          <a:extLst>
            <a:ext uri="{FF2B5EF4-FFF2-40B4-BE49-F238E27FC236}">
              <a16:creationId xmlns:a16="http://schemas.microsoft.com/office/drawing/2014/main" id="{BBE5F27D-6E49-42FE-F295-48CECC9AF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xdr:colOff>
      <xdr:row>6</xdr:row>
      <xdr:rowOff>45720</xdr:rowOff>
    </xdr:from>
    <xdr:to>
      <xdr:col>16</xdr:col>
      <xdr:colOff>213360</xdr:colOff>
      <xdr:row>17</xdr:row>
      <xdr:rowOff>121920</xdr:rowOff>
    </xdr:to>
    <xdr:graphicFrame macro="">
      <xdr:nvGraphicFramePr>
        <xdr:cNvPr id="2" name="Chart 1">
          <a:extLst>
            <a:ext uri="{FF2B5EF4-FFF2-40B4-BE49-F238E27FC236}">
              <a16:creationId xmlns:a16="http://schemas.microsoft.com/office/drawing/2014/main" id="{9259AD02-D69C-E6F5-8C4F-97FD3B5EA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9339</xdr:colOff>
      <xdr:row>2</xdr:row>
      <xdr:rowOff>14475</xdr:rowOff>
    </xdr:from>
    <xdr:to>
      <xdr:col>12</xdr:col>
      <xdr:colOff>261938</xdr:colOff>
      <xdr:row>14</xdr:row>
      <xdr:rowOff>15874</xdr:rowOff>
    </xdr:to>
    <xdr:graphicFrame macro="">
      <xdr:nvGraphicFramePr>
        <xdr:cNvPr id="2" name="Chart 1">
          <a:extLst>
            <a:ext uri="{FF2B5EF4-FFF2-40B4-BE49-F238E27FC236}">
              <a16:creationId xmlns:a16="http://schemas.microsoft.com/office/drawing/2014/main" id="{CDAA0B48-E316-4683-AE71-5C088994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284816</xdr:colOff>
      <xdr:row>2</xdr:row>
      <xdr:rowOff>4669</xdr:rowOff>
    </xdr:from>
    <xdr:to>
      <xdr:col>18</xdr:col>
      <xdr:colOff>587375</xdr:colOff>
      <xdr:row>13</xdr:row>
      <xdr:rowOff>158750</xdr:rowOff>
    </xdr:to>
    <xdr:graphicFrame macro="">
      <xdr:nvGraphicFramePr>
        <xdr:cNvPr id="3" name="Chart 2">
          <a:extLst>
            <a:ext uri="{FF2B5EF4-FFF2-40B4-BE49-F238E27FC236}">
              <a16:creationId xmlns:a16="http://schemas.microsoft.com/office/drawing/2014/main" id="{1C5F4521-A978-4329-A1C0-5A64DDCBC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31750</xdr:rowOff>
    </xdr:from>
    <xdr:to>
      <xdr:col>7</xdr:col>
      <xdr:colOff>460375</xdr:colOff>
      <xdr:row>24</xdr:row>
      <xdr:rowOff>82177</xdr:rowOff>
    </xdr:to>
    <xdr:graphicFrame macro="">
      <xdr:nvGraphicFramePr>
        <xdr:cNvPr id="4" name="Chart 3">
          <a:extLst>
            <a:ext uri="{FF2B5EF4-FFF2-40B4-BE49-F238E27FC236}">
              <a16:creationId xmlns:a16="http://schemas.microsoft.com/office/drawing/2014/main" id="{CB800FDB-D2CA-4066-B917-41362CAEA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455706</xdr:colOff>
      <xdr:row>14</xdr:row>
      <xdr:rowOff>23813</xdr:rowOff>
    </xdr:from>
    <xdr:to>
      <xdr:col>12</xdr:col>
      <xdr:colOff>293688</xdr:colOff>
      <xdr:row>24</xdr:row>
      <xdr:rowOff>89648</xdr:rowOff>
    </xdr:to>
    <xdr:graphicFrame macro="">
      <xdr:nvGraphicFramePr>
        <xdr:cNvPr id="5" name="Chart 4">
          <a:extLst>
            <a:ext uri="{FF2B5EF4-FFF2-40B4-BE49-F238E27FC236}">
              <a16:creationId xmlns:a16="http://schemas.microsoft.com/office/drawing/2014/main" id="{83A785E4-2BFE-4787-915D-6C777C48A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7939</xdr:colOff>
      <xdr:row>2</xdr:row>
      <xdr:rowOff>27080</xdr:rowOff>
    </xdr:from>
    <xdr:to>
      <xdr:col>6</xdr:col>
      <xdr:colOff>15876</xdr:colOff>
      <xdr:row>14</xdr:row>
      <xdr:rowOff>15875</xdr:rowOff>
    </xdr:to>
    <xdr:graphicFrame macro="">
      <xdr:nvGraphicFramePr>
        <xdr:cNvPr id="6" name="Chart 5">
          <a:extLst>
            <a:ext uri="{FF2B5EF4-FFF2-40B4-BE49-F238E27FC236}">
              <a16:creationId xmlns:a16="http://schemas.microsoft.com/office/drawing/2014/main" id="{941A1351-2E0D-464D-ADFE-A849DB07F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312419</xdr:colOff>
      <xdr:row>13</xdr:row>
      <xdr:rowOff>166686</xdr:rowOff>
    </xdr:from>
    <xdr:to>
      <xdr:col>15</xdr:col>
      <xdr:colOff>307656</xdr:colOff>
      <xdr:row>24</xdr:row>
      <xdr:rowOff>79374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803905D-8B30-E9F6-4B7C-397F6ACA35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46669" y="2539999"/>
              <a:ext cx="1828800" cy="1920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288606</xdr:colOff>
      <xdr:row>13</xdr:row>
      <xdr:rowOff>164148</xdr:rowOff>
    </xdr:from>
    <xdr:to>
      <xdr:col>19</xdr:col>
      <xdr:colOff>7936</xdr:colOff>
      <xdr:row>24</xdr:row>
      <xdr:rowOff>71439</xdr:rowOff>
    </xdr:to>
    <mc:AlternateContent xmlns:mc="http://schemas.openxmlformats.org/markup-compatibility/2006">
      <mc:Choice xmlns:a14="http://schemas.microsoft.com/office/drawing/2010/main" Requires="a14">
        <xdr:graphicFrame macro="">
          <xdr:nvGraphicFramePr>
            <xdr:cNvPr id="8" name="Months (Order_Date)">
              <a:extLst>
                <a:ext uri="{FF2B5EF4-FFF2-40B4-BE49-F238E27FC236}">
                  <a16:creationId xmlns:a16="http://schemas.microsoft.com/office/drawing/2014/main" id="{C897AD2A-8D61-2DAA-AD54-2419C7A773E0}"/>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dr:sp macro="" textlink="">
          <xdr:nvSpPr>
            <xdr:cNvPr id="0" name=""/>
            <xdr:cNvSpPr>
              <a:spLocks noTextEdit="1"/>
            </xdr:cNvSpPr>
          </xdr:nvSpPr>
          <xdr:spPr>
            <a:xfrm>
              <a:off x="9456419" y="2537461"/>
              <a:ext cx="2140269" cy="1915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167640</xdr:colOff>
      <xdr:row>2</xdr:row>
      <xdr:rowOff>114300</xdr:rowOff>
    </xdr:from>
    <xdr:to>
      <xdr:col>8</xdr:col>
      <xdr:colOff>403860</xdr:colOff>
      <xdr:row>13</xdr:row>
      <xdr:rowOff>15240</xdr:rowOff>
    </xdr:to>
    <xdr:graphicFrame macro="">
      <xdr:nvGraphicFramePr>
        <xdr:cNvPr id="2" name="Chart 1">
          <a:extLst>
            <a:ext uri="{FF2B5EF4-FFF2-40B4-BE49-F238E27FC236}">
              <a16:creationId xmlns:a16="http://schemas.microsoft.com/office/drawing/2014/main" id="{5CCD45A9-186C-5CD0-533A-BF523766F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220980</xdr:colOff>
      <xdr:row>6</xdr:row>
      <xdr:rowOff>45720</xdr:rowOff>
    </xdr:from>
    <xdr:to>
      <xdr:col>9</xdr:col>
      <xdr:colOff>533400</xdr:colOff>
      <xdr:row>17</xdr:row>
      <xdr:rowOff>144780</xdr:rowOff>
    </xdr:to>
    <xdr:graphicFrame macro="">
      <xdr:nvGraphicFramePr>
        <xdr:cNvPr id="2" name="Chart 1">
          <a:extLst>
            <a:ext uri="{FF2B5EF4-FFF2-40B4-BE49-F238E27FC236}">
              <a16:creationId xmlns:a16="http://schemas.microsoft.com/office/drawing/2014/main" id="{C2568814-13EE-386E-C8E2-8147182BA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NI BODABALLA" refreshedDate="46073.51211747685" createdVersion="8" refreshedVersion="8" minRefreshableVersion="3" recordCount="30" xr:uid="{CAA1F17B-A23A-4371-B699-71A27A8BA30A}">
  <cacheSource type="worksheet">
    <worksheetSource name="Table1"/>
  </cacheSource>
  <cacheFields count="16">
    <cacheField name="Order_ID" numFmtId="0">
      <sharedItems containsSemiMixedTypes="0" containsString="0" containsNumber="1" containsInteger="1" minValue="1001" maxValue="1030"/>
    </cacheField>
    <cacheField name="Order_Date" numFmtId="14">
      <sharedItems containsSemiMixedTypes="0" containsNonDate="0" containsDate="1" containsString="0" minDate="2024-01-01T00:00:00" maxDate="2024-02-18T00:00:00" count="30">
        <d v="2024-02-15T00:00:00"/>
        <d v="2024-01-05T00:00:00"/>
        <d v="2024-01-22T00:00:00"/>
        <d v="2024-02-09T00:00:00"/>
        <d v="2024-01-02T00:00:00"/>
        <d v="2024-01-16T00:00:00"/>
        <d v="2024-02-01T00:00:00"/>
        <d v="2024-01-10T00:00:00"/>
        <d v="2024-01-12T00:00:00"/>
        <d v="2024-02-03T00:00:00"/>
        <d v="2024-01-27T00:00:00"/>
        <d v="2024-01-08T00:00:00"/>
        <d v="2024-02-05T00:00:00"/>
        <d v="2024-01-13T00:00:00"/>
        <d v="2024-01-04T00:00:00"/>
        <d v="2024-01-20T00:00:00"/>
        <d v="2024-02-13T00:00:00"/>
        <d v="2024-01-06T00:00:00"/>
        <d v="2024-01-24T00:00:00"/>
        <d v="2024-02-17T00:00:00"/>
        <d v="2024-01-01T00:00:00"/>
        <d v="2024-01-15T00:00:00"/>
        <d v="2024-02-07T00:00:00"/>
        <d v="2024-01-07T00:00:00"/>
        <d v="2024-01-25T00:00:00"/>
        <d v="2024-01-09T00:00:00"/>
        <d v="2024-01-28T00:00:00"/>
        <d v="2024-01-18T00:00:00"/>
        <d v="2024-02-11T00:00:00"/>
        <d v="2024-01-03T00:00:00"/>
      </sharedItems>
      <fieldGroup par="15"/>
    </cacheField>
    <cacheField name="Region" numFmtId="0">
      <sharedItems count="4">
        <s v="North"/>
        <s v="South"/>
        <s v="East"/>
        <s v="West"/>
      </sharedItems>
    </cacheField>
    <cacheField name="Salesperson" numFmtId="0">
      <sharedItems count="12">
        <s v="Amit"/>
        <s v="Anita"/>
        <s v="Arjun"/>
        <s v="Deepak"/>
        <s v="Kiran"/>
        <s v="Meena"/>
        <s v="Neha"/>
        <s v="Priya"/>
        <s v="Rahul"/>
        <s v="Ravi"/>
        <s v="Sunita"/>
        <s v="Suresh"/>
      </sharedItems>
    </cacheField>
    <cacheField name="Product" numFmtId="0">
      <sharedItems count="12">
        <s v="Monitor"/>
        <s v="Tablet"/>
        <s v="Printer"/>
        <s v="Office Chair"/>
        <s v="Mobile"/>
        <s v="Bookshelf"/>
        <s v="Mouse"/>
        <s v="Desk Lamp"/>
        <s v="Router"/>
        <s v="Keyboard"/>
        <s v="Laptop"/>
        <s v="Desk"/>
      </sharedItems>
    </cacheField>
    <cacheField name="Category" numFmtId="0">
      <sharedItems count="3">
        <s v="Electronics"/>
        <s v="Furniture"/>
        <s v="Accessories"/>
      </sharedItems>
    </cacheField>
    <cacheField name="Quantity" numFmtId="0">
      <sharedItems containsSemiMixedTypes="0" containsString="0" containsNumber="1" containsInteger="1" minValue="1" maxValue="12"/>
    </cacheField>
    <cacheField name="Unit_Price" numFmtId="0">
      <sharedItems containsSemiMixedTypes="0" containsString="0" containsNumber="1" containsInteger="1" minValue="800" maxValue="57000"/>
    </cacheField>
    <cacheField name="Cost_Price" numFmtId="0">
      <sharedItems containsSemiMixedTypes="0" containsString="0" containsNumber="1" containsInteger="1" minValue="500" maxValue="50000" count="29">
        <n v="11800"/>
        <n v="15000"/>
        <n v="12500"/>
        <n v="3300"/>
        <n v="17000"/>
        <n v="18000"/>
        <n v="6200"/>
        <n v="500"/>
        <n v="700"/>
        <n v="2600"/>
        <n v="1000"/>
        <n v="11000"/>
        <n v="50000"/>
        <n v="2500"/>
        <n v="9000"/>
        <n v="14500"/>
        <n v="750"/>
        <n v="12000"/>
        <n v="10000"/>
        <n v="950"/>
        <n v="48000"/>
        <n v="3200"/>
        <n v="15500"/>
        <n v="6000"/>
        <n v="11500"/>
        <n v="900"/>
        <n v="550"/>
        <n v="49000"/>
        <n v="12200"/>
      </sharedItems>
    </cacheField>
    <cacheField name="Payment_Mode" numFmtId="0">
      <sharedItems/>
    </cacheField>
    <cacheField name="Revenue" numFmtId="0">
      <sharedItems containsSemiMixedTypes="0" containsString="0" containsNumber="1" containsInteger="1" minValue="6000" maxValue="110000"/>
    </cacheField>
    <cacheField name="Total_Cost" numFmtId="0">
      <sharedItems containsSemiMixedTypes="0" containsString="0" containsNumber="1" containsInteger="1" minValue="3500" maxValue="96000"/>
    </cacheField>
    <cacheField name="Profit" numFmtId="0">
      <sharedItems containsSemiMixedTypes="0" containsString="0" containsNumber="1" containsInteger="1" minValue="2500" maxValue="15000"/>
    </cacheField>
    <cacheField name="Profit_margin" numFmtId="9">
      <sharedItems containsSemiMixedTypes="0" containsString="0" containsNumber="1" minValue="0.12280701754385964" maxValue="0.41666666666666669"/>
    </cacheField>
    <cacheField name="Days (Order_Date)" numFmtId="0" databaseField="0">
      <fieldGroup base="1">
        <rangePr groupBy="days" startDate="2024-01-01T00:00:00" endDate="2024-02-18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2-2024"/>
        </groupItems>
      </fieldGroup>
    </cacheField>
    <cacheField name="Months (Order_Date)" numFmtId="0" databaseField="0">
      <fieldGroup base="1">
        <rangePr groupBy="months" startDate="2024-01-01T00:00:00" endDate="2024-02-18T00:00:00"/>
        <groupItems count="14">
          <s v="&lt;01-01-2024"/>
          <s v="Jan"/>
          <s v="Feb"/>
          <s v="Mar"/>
          <s v="Apr"/>
          <s v="May"/>
          <s v="Jun"/>
          <s v="Jul"/>
          <s v="Aug"/>
          <s v="Sep"/>
          <s v="Oct"/>
          <s v="Nov"/>
          <s v="Dec"/>
          <s v="&gt;18-02-2024"/>
        </groupItems>
      </fieldGroup>
    </cacheField>
  </cacheFields>
  <extLst>
    <ext xmlns:x14="http://schemas.microsoft.com/office/spreadsheetml/2009/9/main" uri="{725AE2AE-9491-48be-B2B4-4EB974FC3084}">
      <x14:pivotCacheDefinition pivotCacheId="338033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029"/>
    <x v="0"/>
    <x v="0"/>
    <x v="0"/>
    <x v="0"/>
    <x v="0"/>
    <n v="2"/>
    <n v="14800"/>
    <x v="0"/>
    <s v="Card"/>
    <n v="29600"/>
    <n v="23600"/>
    <n v="6000"/>
    <n v="0.20270270270270271"/>
  </r>
  <r>
    <n v="1005"/>
    <x v="1"/>
    <x v="0"/>
    <x v="0"/>
    <x v="1"/>
    <x v="0"/>
    <n v="4"/>
    <n v="18000"/>
    <x v="1"/>
    <s v="UPI"/>
    <n v="72000"/>
    <n v="60000"/>
    <n v="12000"/>
    <n v="0.16666666666666666"/>
  </r>
  <r>
    <n v="1017"/>
    <x v="2"/>
    <x v="0"/>
    <x v="0"/>
    <x v="2"/>
    <x v="0"/>
    <n v="2"/>
    <n v="15500"/>
    <x v="2"/>
    <s v="UPI"/>
    <n v="31000"/>
    <n v="25000"/>
    <n v="6000"/>
    <n v="0.19354838709677419"/>
  </r>
  <r>
    <n v="1026"/>
    <x v="3"/>
    <x v="1"/>
    <x v="1"/>
    <x v="3"/>
    <x v="1"/>
    <n v="3"/>
    <n v="4600"/>
    <x v="3"/>
    <s v="Cash"/>
    <n v="13800"/>
    <n v="9900"/>
    <n v="3900"/>
    <n v="0.28260869565217389"/>
  </r>
  <r>
    <n v="1002"/>
    <x v="4"/>
    <x v="1"/>
    <x v="1"/>
    <x v="4"/>
    <x v="0"/>
    <n v="3"/>
    <n v="20000"/>
    <x v="4"/>
    <s v="UPI"/>
    <n v="60000"/>
    <n v="51000"/>
    <n v="9000"/>
    <n v="0.15"/>
  </r>
  <r>
    <n v="1014"/>
    <x v="5"/>
    <x v="1"/>
    <x v="1"/>
    <x v="4"/>
    <x v="0"/>
    <n v="2"/>
    <n v="22000"/>
    <x v="5"/>
    <s v="UPI"/>
    <n v="44000"/>
    <n v="36000"/>
    <n v="8000"/>
    <n v="0.18181818181818182"/>
  </r>
  <r>
    <n v="1022"/>
    <x v="6"/>
    <x v="1"/>
    <x v="2"/>
    <x v="5"/>
    <x v="1"/>
    <n v="2"/>
    <n v="8200"/>
    <x v="6"/>
    <s v="Card"/>
    <n v="16400"/>
    <n v="12400"/>
    <n v="4000"/>
    <n v="0.24390243902439024"/>
  </r>
  <r>
    <n v="1010"/>
    <x v="7"/>
    <x v="1"/>
    <x v="2"/>
    <x v="6"/>
    <x v="0"/>
    <n v="10"/>
    <n v="800"/>
    <x v="7"/>
    <s v="UPI"/>
    <n v="8000"/>
    <n v="5000"/>
    <n v="3000"/>
    <n v="0.375"/>
  </r>
  <r>
    <n v="1011"/>
    <x v="8"/>
    <x v="2"/>
    <x v="3"/>
    <x v="7"/>
    <x v="2"/>
    <n v="5"/>
    <n v="1200"/>
    <x v="8"/>
    <s v="Card"/>
    <n v="6000"/>
    <n v="3500"/>
    <n v="2500"/>
    <n v="0.41666666666666669"/>
  </r>
  <r>
    <n v="1023"/>
    <x v="9"/>
    <x v="2"/>
    <x v="3"/>
    <x v="8"/>
    <x v="0"/>
    <n v="3"/>
    <n v="3600"/>
    <x v="9"/>
    <s v="UPI"/>
    <n v="10800"/>
    <n v="7800"/>
    <n v="3000"/>
    <n v="0.27777777777777779"/>
  </r>
  <r>
    <n v="1020"/>
    <x v="10"/>
    <x v="3"/>
    <x v="4"/>
    <x v="9"/>
    <x v="0"/>
    <n v="8"/>
    <n v="1600"/>
    <x v="10"/>
    <s v="Cash"/>
    <n v="12800"/>
    <n v="8000"/>
    <n v="4800"/>
    <n v="0.375"/>
  </r>
  <r>
    <n v="1008"/>
    <x v="11"/>
    <x v="3"/>
    <x v="4"/>
    <x v="0"/>
    <x v="0"/>
    <n v="2"/>
    <n v="14000"/>
    <x v="11"/>
    <s v="UPI"/>
    <n v="28000"/>
    <n v="22000"/>
    <n v="6000"/>
    <n v="0.21428571428571427"/>
  </r>
  <r>
    <n v="1024"/>
    <x v="12"/>
    <x v="3"/>
    <x v="5"/>
    <x v="10"/>
    <x v="0"/>
    <n v="1"/>
    <n v="57000"/>
    <x v="12"/>
    <s v="Card"/>
    <n v="57000"/>
    <n v="50000"/>
    <n v="7000"/>
    <n v="0.12280701754385964"/>
  </r>
  <r>
    <n v="1012"/>
    <x v="13"/>
    <x v="3"/>
    <x v="5"/>
    <x v="8"/>
    <x v="0"/>
    <n v="3"/>
    <n v="3500"/>
    <x v="13"/>
    <s v="UPI"/>
    <n v="10500"/>
    <n v="7500"/>
    <n v="3000"/>
    <n v="0.2857142857142857"/>
  </r>
  <r>
    <n v="1004"/>
    <x v="14"/>
    <x v="3"/>
    <x v="6"/>
    <x v="11"/>
    <x v="1"/>
    <n v="2"/>
    <n v="12000"/>
    <x v="14"/>
    <s v="Card"/>
    <n v="24000"/>
    <n v="18000"/>
    <n v="6000"/>
    <n v="0.25"/>
  </r>
  <r>
    <n v="1016"/>
    <x v="15"/>
    <x v="3"/>
    <x v="6"/>
    <x v="1"/>
    <x v="0"/>
    <n v="3"/>
    <n v="17500"/>
    <x v="15"/>
    <s v="Cash"/>
    <n v="52500"/>
    <n v="43500"/>
    <n v="9000"/>
    <n v="0.17142857142857143"/>
  </r>
  <r>
    <n v="1028"/>
    <x v="16"/>
    <x v="3"/>
    <x v="6"/>
    <x v="7"/>
    <x v="2"/>
    <n v="6"/>
    <n v="1250"/>
    <x v="16"/>
    <s v="UPI"/>
    <n v="7500"/>
    <n v="4500"/>
    <n v="3000"/>
    <n v="0.4"/>
  </r>
  <r>
    <n v="1006"/>
    <x v="17"/>
    <x v="1"/>
    <x v="7"/>
    <x v="2"/>
    <x v="0"/>
    <n v="1"/>
    <n v="15000"/>
    <x v="17"/>
    <s v="Card"/>
    <n v="15000"/>
    <n v="12000"/>
    <n v="3000"/>
    <n v="0.2"/>
  </r>
  <r>
    <n v="1018"/>
    <x v="18"/>
    <x v="1"/>
    <x v="7"/>
    <x v="11"/>
    <x v="1"/>
    <n v="1"/>
    <n v="13000"/>
    <x v="18"/>
    <s v="Card"/>
    <n v="13000"/>
    <n v="10000"/>
    <n v="3000"/>
    <n v="0.23076923076923078"/>
  </r>
  <r>
    <n v="1030"/>
    <x v="19"/>
    <x v="1"/>
    <x v="7"/>
    <x v="9"/>
    <x v="0"/>
    <n v="9"/>
    <n v="1550"/>
    <x v="19"/>
    <s v="Cash"/>
    <n v="13950"/>
    <n v="8550"/>
    <n v="5400"/>
    <n v="0.38709677419354838"/>
  </r>
  <r>
    <n v="1001"/>
    <x v="20"/>
    <x v="0"/>
    <x v="8"/>
    <x v="10"/>
    <x v="0"/>
    <n v="2"/>
    <n v="55000"/>
    <x v="20"/>
    <s v="Card"/>
    <n v="110000"/>
    <n v="96000"/>
    <n v="14000"/>
    <n v="0.12727272727272726"/>
  </r>
  <r>
    <n v="1013"/>
    <x v="21"/>
    <x v="0"/>
    <x v="8"/>
    <x v="3"/>
    <x v="1"/>
    <n v="4"/>
    <n v="4500"/>
    <x v="21"/>
    <s v="Card"/>
    <n v="18000"/>
    <n v="12800"/>
    <n v="5200"/>
    <n v="0.28888888888888886"/>
  </r>
  <r>
    <n v="1025"/>
    <x v="22"/>
    <x v="0"/>
    <x v="8"/>
    <x v="1"/>
    <x v="0"/>
    <n v="5"/>
    <n v="18500"/>
    <x v="22"/>
    <s v="UPI"/>
    <n v="92500"/>
    <n v="77500"/>
    <n v="15000"/>
    <n v="0.16216216216216217"/>
  </r>
  <r>
    <n v="1007"/>
    <x v="23"/>
    <x v="2"/>
    <x v="9"/>
    <x v="5"/>
    <x v="1"/>
    <n v="3"/>
    <n v="8000"/>
    <x v="23"/>
    <s v="Cash"/>
    <n v="24000"/>
    <n v="18000"/>
    <n v="6000"/>
    <n v="0.25"/>
  </r>
  <r>
    <n v="1019"/>
    <x v="24"/>
    <x v="2"/>
    <x v="9"/>
    <x v="0"/>
    <x v="0"/>
    <n v="4"/>
    <n v="14500"/>
    <x v="24"/>
    <s v="UPI"/>
    <n v="58000"/>
    <n v="46000"/>
    <n v="12000"/>
    <n v="0.20689655172413793"/>
  </r>
  <r>
    <n v="1009"/>
    <x v="25"/>
    <x v="0"/>
    <x v="10"/>
    <x v="9"/>
    <x v="0"/>
    <n v="6"/>
    <n v="1500"/>
    <x v="25"/>
    <s v="Cash"/>
    <n v="9000"/>
    <n v="5400"/>
    <n v="3600"/>
    <n v="0.4"/>
  </r>
  <r>
    <n v="1021"/>
    <x v="26"/>
    <x v="0"/>
    <x v="10"/>
    <x v="6"/>
    <x v="0"/>
    <n v="12"/>
    <n v="850"/>
    <x v="26"/>
    <s v="UPI"/>
    <n v="10200"/>
    <n v="6600"/>
    <n v="3600"/>
    <n v="0.35294117647058826"/>
  </r>
  <r>
    <n v="1015"/>
    <x v="27"/>
    <x v="2"/>
    <x v="11"/>
    <x v="10"/>
    <x v="0"/>
    <n v="1"/>
    <n v="56000"/>
    <x v="27"/>
    <s v="Card"/>
    <n v="56000"/>
    <n v="49000"/>
    <n v="7000"/>
    <n v="0.125"/>
  </r>
  <r>
    <n v="1027"/>
    <x v="28"/>
    <x v="2"/>
    <x v="11"/>
    <x v="2"/>
    <x v="0"/>
    <n v="2"/>
    <n v="15200"/>
    <x v="28"/>
    <s v="Card"/>
    <n v="30400"/>
    <n v="24400"/>
    <n v="6000"/>
    <n v="0.19736842105263158"/>
  </r>
  <r>
    <n v="1003"/>
    <x v="29"/>
    <x v="2"/>
    <x v="11"/>
    <x v="3"/>
    <x v="1"/>
    <n v="5"/>
    <n v="4500"/>
    <x v="21"/>
    <s v="Cash"/>
    <n v="22500"/>
    <n v="16000"/>
    <n v="6500"/>
    <n v="0.288888888888888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201400-DC5E-499F-A05F-A7583335C48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6">
    <pivotField showAll="0"/>
    <pivotField numFmtId="14" showAll="0">
      <items count="31">
        <item x="20"/>
        <item x="4"/>
        <item x="29"/>
        <item x="14"/>
        <item x="1"/>
        <item x="17"/>
        <item x="23"/>
        <item x="11"/>
        <item x="25"/>
        <item x="7"/>
        <item x="8"/>
        <item x="13"/>
        <item x="21"/>
        <item x="5"/>
        <item x="27"/>
        <item x="15"/>
        <item x="2"/>
        <item x="18"/>
        <item x="24"/>
        <item x="10"/>
        <item x="26"/>
        <item x="6"/>
        <item x="9"/>
        <item x="12"/>
        <item x="22"/>
        <item x="3"/>
        <item x="28"/>
        <item x="16"/>
        <item x="0"/>
        <item x="19"/>
        <item t="default"/>
      </items>
    </pivotField>
    <pivotField axis="axisRow" showAll="0">
      <items count="5">
        <item x="2"/>
        <item x="0"/>
        <item x="1"/>
        <item x="3"/>
        <item t="default"/>
      </items>
    </pivotField>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_Cost" fld="1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C1AE14-A5A1-429B-B11C-FB47CBB38E3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16">
    <pivotField showAll="0"/>
    <pivotField numFmtId="14" showAll="0">
      <items count="31">
        <item x="20"/>
        <item x="4"/>
        <item x="29"/>
        <item x="14"/>
        <item x="1"/>
        <item x="17"/>
        <item x="23"/>
        <item x="11"/>
        <item x="25"/>
        <item x="7"/>
        <item x="8"/>
        <item x="13"/>
        <item x="21"/>
        <item x="5"/>
        <item x="27"/>
        <item x="15"/>
        <item x="2"/>
        <item x="18"/>
        <item x="24"/>
        <item x="10"/>
        <item x="26"/>
        <item x="6"/>
        <item x="9"/>
        <item x="12"/>
        <item x="22"/>
        <item x="3"/>
        <item x="28"/>
        <item x="16"/>
        <item x="0"/>
        <item x="19"/>
        <item t="default"/>
      </items>
    </pivotField>
    <pivotField showAll="0">
      <items count="5">
        <item x="2"/>
        <item x="0"/>
        <item x="1"/>
        <item x="3"/>
        <item t="default"/>
      </items>
    </pivotField>
    <pivotField showAll="0"/>
    <pivotField axis="axisRow" showAll="0">
      <items count="13">
        <item x="5"/>
        <item x="11"/>
        <item x="7"/>
        <item x="9"/>
        <item x="10"/>
        <item x="4"/>
        <item x="0"/>
        <item x="6"/>
        <item x="3"/>
        <item x="2"/>
        <item x="8"/>
        <item x="1"/>
        <item t="default"/>
      </items>
    </pivotField>
    <pivotField showAll="0"/>
    <pivotField showAll="0"/>
    <pivotField showAll="0"/>
    <pivotField showAll="0"/>
    <pivotField showAll="0"/>
    <pivotField dataField="1"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0" baseField="0" baseItem="0"/>
    <dataField name="Sum of Profit" fld="12" baseField="0" baseItem="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61AB0-E782-43EC-8A9A-C8ED8982A4BB}"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6">
    <pivotField showAll="0"/>
    <pivotField numFmtId="14" showAll="0">
      <items count="31">
        <item x="20"/>
        <item x="4"/>
        <item x="29"/>
        <item x="14"/>
        <item x="1"/>
        <item x="17"/>
        <item x="23"/>
        <item x="11"/>
        <item x="25"/>
        <item x="7"/>
        <item x="8"/>
        <item x="13"/>
        <item x="21"/>
        <item x="5"/>
        <item x="27"/>
        <item x="15"/>
        <item x="2"/>
        <item x="18"/>
        <item x="24"/>
        <item x="10"/>
        <item x="26"/>
        <item x="6"/>
        <item x="9"/>
        <item x="12"/>
        <item x="22"/>
        <item x="3"/>
        <item x="28"/>
        <item x="16"/>
        <item x="0"/>
        <item x="19"/>
        <item t="default"/>
      </items>
    </pivotField>
    <pivotField showAll="0">
      <items count="5">
        <item x="2"/>
        <item x="0"/>
        <item x="1"/>
        <item x="3"/>
        <item t="default"/>
      </items>
    </pivotField>
    <pivotField axis="axisRow" showAll="0">
      <items count="13">
        <item x="0"/>
        <item x="1"/>
        <item x="2"/>
        <item x="3"/>
        <item x="4"/>
        <item x="5"/>
        <item x="6"/>
        <item x="7"/>
        <item x="8"/>
        <item x="9"/>
        <item x="10"/>
        <item x="11"/>
        <item t="default"/>
      </items>
    </pivotField>
    <pivotField showAll="0"/>
    <pivotField dataField="1" showAll="0">
      <items count="4">
        <item x="2"/>
        <item x="0"/>
        <item x="1"/>
        <item t="default"/>
      </items>
    </pivotField>
    <pivotField showAll="0"/>
    <pivotField showAll="0"/>
    <pivotField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Count of Category"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F25864-90D1-4D42-8C89-3117977616D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6">
    <pivotField showAll="0"/>
    <pivotField numFmtId="14" showAll="0">
      <items count="31">
        <item x="20"/>
        <item x="4"/>
        <item x="29"/>
        <item x="14"/>
        <item x="1"/>
        <item x="17"/>
        <item x="23"/>
        <item x="11"/>
        <item x="25"/>
        <item x="7"/>
        <item x="8"/>
        <item x="13"/>
        <item x="21"/>
        <item x="5"/>
        <item x="27"/>
        <item x="15"/>
        <item x="2"/>
        <item x="18"/>
        <item x="24"/>
        <item x="10"/>
        <item x="26"/>
        <item x="6"/>
        <item x="9"/>
        <item x="12"/>
        <item x="22"/>
        <item x="3"/>
        <item x="28"/>
        <item x="16"/>
        <item x="0"/>
        <item x="19"/>
        <item t="default"/>
      </items>
    </pivotField>
    <pivotField showAll="0">
      <items count="5">
        <item x="2"/>
        <item x="0"/>
        <item x="1"/>
        <item x="3"/>
        <item t="default"/>
      </items>
    </pivotField>
    <pivotField showAll="0"/>
    <pivotField axis="axisRow" showAll="0">
      <items count="13">
        <item x="5"/>
        <item x="11"/>
        <item x="7"/>
        <item x="9"/>
        <item x="10"/>
        <item x="4"/>
        <item x="0"/>
        <item x="6"/>
        <item x="3"/>
        <item x="2"/>
        <item x="8"/>
        <item x="1"/>
        <item t="default"/>
      </items>
    </pivotField>
    <pivotField showAll="0"/>
    <pivotField showAll="0"/>
    <pivotField showAll="0"/>
    <pivotField dataField="1" showAll="0">
      <items count="30">
        <item x="7"/>
        <item x="26"/>
        <item x="8"/>
        <item x="16"/>
        <item x="25"/>
        <item x="19"/>
        <item x="10"/>
        <item x="13"/>
        <item x="9"/>
        <item x="21"/>
        <item x="3"/>
        <item x="23"/>
        <item x="6"/>
        <item x="14"/>
        <item x="18"/>
        <item x="11"/>
        <item x="24"/>
        <item x="0"/>
        <item x="17"/>
        <item x="28"/>
        <item x="2"/>
        <item x="15"/>
        <item x="1"/>
        <item x="22"/>
        <item x="4"/>
        <item x="5"/>
        <item x="20"/>
        <item x="27"/>
        <item x="12"/>
        <item t="default"/>
      </items>
    </pivotField>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Cost_Price" fld="8" baseField="0" baseItem="0"/>
  </dataFields>
  <chartFormats count="14">
    <chartFormat chart="0" format="0" series="1">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4" count="1" selected="0">
            <x v="0"/>
          </reference>
        </references>
      </pivotArea>
    </chartFormat>
    <chartFormat chart="3" format="16">
      <pivotArea type="data" outline="0" fieldPosition="0">
        <references count="2">
          <reference field="4294967294" count="1" selected="0">
            <x v="0"/>
          </reference>
          <reference field="4" count="1" selected="0">
            <x v="1"/>
          </reference>
        </references>
      </pivotArea>
    </chartFormat>
    <chartFormat chart="3" format="17">
      <pivotArea type="data" outline="0" fieldPosition="0">
        <references count="2">
          <reference field="4294967294" count="1" selected="0">
            <x v="0"/>
          </reference>
          <reference field="4" count="1" selected="0">
            <x v="2"/>
          </reference>
        </references>
      </pivotArea>
    </chartFormat>
    <chartFormat chart="3" format="18">
      <pivotArea type="data" outline="0" fieldPosition="0">
        <references count="2">
          <reference field="4294967294" count="1" selected="0">
            <x v="0"/>
          </reference>
          <reference field="4" count="1" selected="0">
            <x v="3"/>
          </reference>
        </references>
      </pivotArea>
    </chartFormat>
    <chartFormat chart="3" format="19">
      <pivotArea type="data" outline="0" fieldPosition="0">
        <references count="2">
          <reference field="4294967294" count="1" selected="0">
            <x v="0"/>
          </reference>
          <reference field="4" count="1" selected="0">
            <x v="4"/>
          </reference>
        </references>
      </pivotArea>
    </chartFormat>
    <chartFormat chart="3" format="20">
      <pivotArea type="data" outline="0" fieldPosition="0">
        <references count="2">
          <reference field="4294967294" count="1" selected="0">
            <x v="0"/>
          </reference>
          <reference field="4" count="1" selected="0">
            <x v="5"/>
          </reference>
        </references>
      </pivotArea>
    </chartFormat>
    <chartFormat chart="3" format="21">
      <pivotArea type="data" outline="0" fieldPosition="0">
        <references count="2">
          <reference field="4294967294" count="1" selected="0">
            <x v="0"/>
          </reference>
          <reference field="4" count="1" selected="0">
            <x v="6"/>
          </reference>
        </references>
      </pivotArea>
    </chartFormat>
    <chartFormat chart="3" format="22">
      <pivotArea type="data" outline="0" fieldPosition="0">
        <references count="2">
          <reference field="4294967294" count="1" selected="0">
            <x v="0"/>
          </reference>
          <reference field="4" count="1" selected="0">
            <x v="7"/>
          </reference>
        </references>
      </pivotArea>
    </chartFormat>
    <chartFormat chart="3" format="23">
      <pivotArea type="data" outline="0" fieldPosition="0">
        <references count="2">
          <reference field="4294967294" count="1" selected="0">
            <x v="0"/>
          </reference>
          <reference field="4" count="1" selected="0">
            <x v="8"/>
          </reference>
        </references>
      </pivotArea>
    </chartFormat>
    <chartFormat chart="3" format="24">
      <pivotArea type="data" outline="0" fieldPosition="0">
        <references count="2">
          <reference field="4294967294" count="1" selected="0">
            <x v="0"/>
          </reference>
          <reference field="4" count="1" selected="0">
            <x v="9"/>
          </reference>
        </references>
      </pivotArea>
    </chartFormat>
    <chartFormat chart="3" format="25">
      <pivotArea type="data" outline="0" fieldPosition="0">
        <references count="2">
          <reference field="4294967294" count="1" selected="0">
            <x v="0"/>
          </reference>
          <reference field="4" count="1" selected="0">
            <x v="10"/>
          </reference>
        </references>
      </pivotArea>
    </chartFormat>
    <chartFormat chart="3" format="26">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5F398C-9F6B-4AFD-8B02-799E82A18274}"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9" firstHeaderRow="1" firstDataRow="2" firstDataCol="1"/>
  <pivotFields count="16">
    <pivotField showAll="0"/>
    <pivotField numFmtId="14" showAll="0">
      <items count="31">
        <item x="20"/>
        <item x="4"/>
        <item x="29"/>
        <item x="14"/>
        <item x="1"/>
        <item x="17"/>
        <item x="23"/>
        <item x="11"/>
        <item x="25"/>
        <item x="7"/>
        <item x="8"/>
        <item x="13"/>
        <item x="21"/>
        <item x="5"/>
        <item x="27"/>
        <item x="15"/>
        <item x="2"/>
        <item x="18"/>
        <item x="24"/>
        <item x="10"/>
        <item x="26"/>
        <item x="6"/>
        <item x="9"/>
        <item x="12"/>
        <item x="22"/>
        <item x="3"/>
        <item x="28"/>
        <item x="16"/>
        <item x="0"/>
        <item x="19"/>
        <item t="default"/>
      </items>
    </pivotField>
    <pivotField axis="axisRow" showAll="0">
      <items count="5">
        <item x="2"/>
        <item x="0"/>
        <item x="1"/>
        <item x="3"/>
        <item t="default"/>
      </items>
    </pivotField>
    <pivotField showAll="0"/>
    <pivotField showAll="0">
      <items count="13">
        <item x="5"/>
        <item x="11"/>
        <item x="7"/>
        <item x="9"/>
        <item x="10"/>
        <item x="4"/>
        <item x="0"/>
        <item x="6"/>
        <item x="3"/>
        <item x="2"/>
        <item x="8"/>
        <item x="1"/>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dataField="1"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Fields count="1">
    <field x="5"/>
  </colFields>
  <colItems count="4">
    <i>
      <x/>
    </i>
    <i>
      <x v="1"/>
    </i>
    <i>
      <x v="2"/>
    </i>
    <i t="grand">
      <x/>
    </i>
  </colItems>
  <dataFields count="1">
    <dataField name="Sum of Profit_margin" fld="13" baseField="0" baseItem="0" numFmtId="9"/>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70D34D-A75B-41FD-8B50-07EF050B4774}"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6">
    <pivotField showAll="0"/>
    <pivotField numFmtId="14" showAll="0">
      <items count="31">
        <item x="20"/>
        <item x="4"/>
        <item x="29"/>
        <item x="14"/>
        <item x="1"/>
        <item x="17"/>
        <item x="23"/>
        <item x="11"/>
        <item x="25"/>
        <item x="7"/>
        <item x="8"/>
        <item x="13"/>
        <item x="21"/>
        <item x="5"/>
        <item x="27"/>
        <item x="15"/>
        <item x="2"/>
        <item x="18"/>
        <item x="24"/>
        <item x="10"/>
        <item x="26"/>
        <item x="6"/>
        <item x="9"/>
        <item x="12"/>
        <item x="22"/>
        <item x="3"/>
        <item x="28"/>
        <item x="16"/>
        <item x="0"/>
        <item x="19"/>
        <item t="default"/>
      </items>
    </pivotField>
    <pivotField showAll="0">
      <items count="5">
        <item x="2"/>
        <item x="0"/>
        <item x="1"/>
        <item x="3"/>
        <item t="default"/>
      </items>
    </pivotField>
    <pivotField showAll="0"/>
    <pivotField axis="axisRow" showAll="0" measureFilter="1">
      <items count="13">
        <item x="5"/>
        <item x="11"/>
        <item x="7"/>
        <item x="9"/>
        <item x="10"/>
        <item x="4"/>
        <item x="0"/>
        <item x="6"/>
        <item x="3"/>
        <item x="2"/>
        <item x="8"/>
        <item x="1"/>
        <item t="default"/>
      </items>
    </pivotField>
    <pivotField showAll="0"/>
    <pivotField showAll="0"/>
    <pivotField showAll="0"/>
    <pivotField showAll="0"/>
    <pivotField showAll="0"/>
    <pivotField showAll="0"/>
    <pivotField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v="4"/>
    </i>
    <i>
      <x v="5"/>
    </i>
    <i>
      <x v="6"/>
    </i>
    <i>
      <x v="8"/>
    </i>
    <i>
      <x v="11"/>
    </i>
    <i t="grand">
      <x/>
    </i>
  </rowItems>
  <colItems count="1">
    <i/>
  </colItems>
  <dataFields count="1">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C4F9B2-0585-4F3B-B031-1FF7620C817D}" sourceName="Region">
  <pivotTables>
    <pivotTable tabId="5" name="PivotTable3"/>
    <pivotTable tabId="3" name="PivotTable1"/>
    <pivotTable tabId="4" name="PivotTable2"/>
    <pivotTable tabId="6" name="PivotTable4"/>
    <pivotTable tabId="8" name="PivotTable5"/>
    <pivotTable tabId="9" name="PivotTable6"/>
  </pivotTables>
  <data>
    <tabular pivotCacheId="338033874">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9ECA53B-3D65-4073-8ECB-BCE62272AFC1}" sourceName="Months (Order_Date)">
  <pivotTables>
    <pivotTable tabId="6" name="PivotTable4"/>
    <pivotTable tabId="3" name="PivotTable1"/>
    <pivotTable tabId="4" name="PivotTable2"/>
    <pivotTable tabId="5" name="PivotTable3"/>
    <pivotTable tabId="8" name="PivotTable5"/>
    <pivotTable tabId="9" name="PivotTable6"/>
  </pivotTables>
  <data>
    <tabular pivotCacheId="338033874">
      <items count="14">
        <i x="1" s="1"/>
        <i x="2" s="1"/>
        <i x="3" s="1" nd="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961247-9055-4E78-9C55-20AC5E8BD423}" cache="Slicer_Region" caption="Region" rowHeight="234950"/>
  <slicer name="Months (Order_Date)" xr10:uid="{D8D53891-51E2-443E-AF9C-9EA389A7BA83}" cache="Slicer_Months__Order_Date" caption="Months (Order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F6A0B4-5589-48FE-8FE7-84D666E6048D}" name="Table1" displayName="Table1" ref="A1:N31" totalsRowShown="0" headerRowDxfId="15" dataDxfId="14">
  <autoFilter ref="A1:N31" xr:uid="{7FC4E3FC-F7BB-4431-9E84-BC7111504BE3}"/>
  <sortState xmlns:xlrd2="http://schemas.microsoft.com/office/spreadsheetml/2017/richdata2" ref="A2:N31">
    <sortCondition ref="D1:D31"/>
  </sortState>
  <tableColumns count="14">
    <tableColumn id="1" xr3:uid="{8F91F1D0-330F-4654-BD8D-14A5649A6D9F}" name="Order_ID" dataDxfId="13"/>
    <tableColumn id="2" xr3:uid="{733E916F-A693-40E2-B019-8D6173188B5B}" name="Order_Date" dataDxfId="12"/>
    <tableColumn id="3" xr3:uid="{8D3D76F1-7A44-4F47-805F-C9F58B9E911A}" name="Region" dataDxfId="11"/>
    <tableColumn id="4" xr3:uid="{3B68B84C-ED40-47C1-9378-7878C50A004B}" name="Salesperson" dataDxfId="10"/>
    <tableColumn id="5" xr3:uid="{6B056564-6961-4424-B8EB-24C83DF97433}" name="Product" dataDxfId="9"/>
    <tableColumn id="6" xr3:uid="{A240290A-738C-4F49-A50B-B3124C371F94}" name="Category" dataDxfId="8"/>
    <tableColumn id="7" xr3:uid="{29021D53-F762-449A-9C80-28B337E1B32C}" name="Quantity" dataDxfId="7"/>
    <tableColumn id="8" xr3:uid="{77013433-3F5F-4F09-B628-4696A81DB84D}" name="Unit_Price" dataDxfId="6"/>
    <tableColumn id="9" xr3:uid="{0788CBE3-AC4B-41D6-B459-EFC8AC939BD0}" name="Cost_Price" dataDxfId="5"/>
    <tableColumn id="10" xr3:uid="{373BDCD3-D7CA-42E9-A30A-601ABAD7F286}" name="Payment_Mode" dataDxfId="4"/>
    <tableColumn id="11" xr3:uid="{957F97A1-078A-4C9D-9877-B2D94AB9F7BA}" name="Revenue" dataDxfId="3">
      <calculatedColumnFormula>Table1[[#This Row],[Quantity]]*Table1[[#This Row],[Unit_Price]]</calculatedColumnFormula>
    </tableColumn>
    <tableColumn id="12" xr3:uid="{4F8429BC-B795-4EA2-919A-9F10DB742642}" name="Total_Cost" dataDxfId="2">
      <calculatedColumnFormula>Table1[[#This Row],[Quantity]]*Table1[[#This Row],[Cost_Price]]</calculatedColumnFormula>
    </tableColumn>
    <tableColumn id="13" xr3:uid="{28778F83-9C2C-4E7C-BB40-963A00FD0D64}" name="Profit" dataDxfId="1">
      <calculatedColumnFormula>Table1[[#This Row],[Revenue]]-Table1[[#This Row],[Total_Cost]]</calculatedColumnFormula>
    </tableColumn>
    <tableColumn id="14" xr3:uid="{705A2470-4C57-4401-A00A-0D9584767147}" name="Profit_margin" dataDxfId="0" dataCellStyle="Percent">
      <calculatedColumnFormula>Table1[[#This Row],[Profit]]/Table1[[#This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D61E3-7118-476A-87DC-9A6CCD0D3F58}">
  <dimension ref="A3:B8"/>
  <sheetViews>
    <sheetView workbookViewId="0">
      <selection activeCell="N19" sqref="N19"/>
    </sheetView>
  </sheetViews>
  <sheetFormatPr defaultRowHeight="14.4" x14ac:dyDescent="0.3"/>
  <cols>
    <col min="1" max="1" width="12.5546875" bestFit="1" customWidth="1"/>
    <col min="2" max="2" width="16.44140625" bestFit="1" customWidth="1"/>
  </cols>
  <sheetData>
    <row r="3" spans="1:2" x14ac:dyDescent="0.3">
      <c r="A3" s="6" t="s">
        <v>48</v>
      </c>
      <c r="B3" t="s">
        <v>51</v>
      </c>
    </row>
    <row r="4" spans="1:2" x14ac:dyDescent="0.3">
      <c r="A4" s="7" t="s">
        <v>19</v>
      </c>
      <c r="B4" s="8">
        <v>164700</v>
      </c>
    </row>
    <row r="5" spans="1:2" x14ac:dyDescent="0.3">
      <c r="A5" s="7" t="s">
        <v>10</v>
      </c>
      <c r="B5" s="8">
        <v>306900</v>
      </c>
    </row>
    <row r="6" spans="1:2" x14ac:dyDescent="0.3">
      <c r="A6" s="7" t="s">
        <v>15</v>
      </c>
      <c r="B6" s="8">
        <v>144850</v>
      </c>
    </row>
    <row r="7" spans="1:2" x14ac:dyDescent="0.3">
      <c r="A7" s="7" t="s">
        <v>24</v>
      </c>
      <c r="B7" s="8">
        <v>153500</v>
      </c>
    </row>
    <row r="8" spans="1:2" x14ac:dyDescent="0.3">
      <c r="A8" s="7" t="s">
        <v>49</v>
      </c>
      <c r="B8" s="8">
        <v>769950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516C2-5F5B-4990-A085-1ECB35A64F09}">
  <dimension ref="A3:C16"/>
  <sheetViews>
    <sheetView workbookViewId="0">
      <selection activeCell="M21" sqref="M21"/>
    </sheetView>
  </sheetViews>
  <sheetFormatPr defaultRowHeight="14.4" x14ac:dyDescent="0.3"/>
  <cols>
    <col min="1" max="1" width="12.5546875" bestFit="1" customWidth="1"/>
    <col min="2" max="2" width="14.88671875" bestFit="1" customWidth="1"/>
    <col min="3" max="4" width="12.109375" bestFit="1" customWidth="1"/>
  </cols>
  <sheetData>
    <row r="3" spans="1:3" x14ac:dyDescent="0.3">
      <c r="A3" s="6" t="s">
        <v>48</v>
      </c>
      <c r="B3" t="s">
        <v>52</v>
      </c>
      <c r="C3" t="s">
        <v>50</v>
      </c>
    </row>
    <row r="4" spans="1:3" x14ac:dyDescent="0.3">
      <c r="A4" s="7" t="s">
        <v>32</v>
      </c>
      <c r="B4" s="8">
        <v>40400</v>
      </c>
      <c r="C4" s="8">
        <v>10000</v>
      </c>
    </row>
    <row r="5" spans="1:3" x14ac:dyDescent="0.3">
      <c r="A5" s="7" t="s">
        <v>26</v>
      </c>
      <c r="B5" s="8">
        <v>37000</v>
      </c>
      <c r="C5" s="8">
        <v>9000</v>
      </c>
    </row>
    <row r="6" spans="1:3" x14ac:dyDescent="0.3">
      <c r="A6" s="7" t="s">
        <v>40</v>
      </c>
      <c r="B6" s="8">
        <v>13500</v>
      </c>
      <c r="C6" s="8">
        <v>5500</v>
      </c>
    </row>
    <row r="7" spans="1:3" x14ac:dyDescent="0.3">
      <c r="A7" s="7" t="s">
        <v>36</v>
      </c>
      <c r="B7" s="8">
        <v>35750</v>
      </c>
      <c r="C7" s="8">
        <v>13800</v>
      </c>
    </row>
    <row r="8" spans="1:3" x14ac:dyDescent="0.3">
      <c r="A8" s="7" t="s">
        <v>12</v>
      </c>
      <c r="B8" s="8">
        <v>223000</v>
      </c>
      <c r="C8" s="8">
        <v>28000</v>
      </c>
    </row>
    <row r="9" spans="1:3" x14ac:dyDescent="0.3">
      <c r="A9" s="7" t="s">
        <v>17</v>
      </c>
      <c r="B9" s="8">
        <v>104000</v>
      </c>
      <c r="C9" s="8">
        <v>17000</v>
      </c>
    </row>
    <row r="10" spans="1:3" x14ac:dyDescent="0.3">
      <c r="A10" s="7" t="s">
        <v>34</v>
      </c>
      <c r="B10" s="8">
        <v>115600</v>
      </c>
      <c r="C10" s="8">
        <v>24000</v>
      </c>
    </row>
    <row r="11" spans="1:3" x14ac:dyDescent="0.3">
      <c r="A11" s="7" t="s">
        <v>38</v>
      </c>
      <c r="B11" s="8">
        <v>18200</v>
      </c>
      <c r="C11" s="8">
        <v>6600</v>
      </c>
    </row>
    <row r="12" spans="1:3" x14ac:dyDescent="0.3">
      <c r="A12" s="7" t="s">
        <v>21</v>
      </c>
      <c r="B12" s="8">
        <v>54300</v>
      </c>
      <c r="C12" s="8">
        <v>15600</v>
      </c>
    </row>
    <row r="13" spans="1:3" x14ac:dyDescent="0.3">
      <c r="A13" s="7" t="s">
        <v>30</v>
      </c>
      <c r="B13" s="8">
        <v>76400</v>
      </c>
      <c r="C13" s="8">
        <v>15000</v>
      </c>
    </row>
    <row r="14" spans="1:3" x14ac:dyDescent="0.3">
      <c r="A14" s="7" t="s">
        <v>43</v>
      </c>
      <c r="B14" s="8">
        <v>21300</v>
      </c>
      <c r="C14" s="8">
        <v>6000</v>
      </c>
    </row>
    <row r="15" spans="1:3" x14ac:dyDescent="0.3">
      <c r="A15" s="7" t="s">
        <v>28</v>
      </c>
      <c r="B15" s="8">
        <v>217000</v>
      </c>
      <c r="C15" s="8">
        <v>36000</v>
      </c>
    </row>
    <row r="16" spans="1:3" x14ac:dyDescent="0.3">
      <c r="A16" s="7" t="s">
        <v>49</v>
      </c>
      <c r="B16" s="8">
        <v>956450</v>
      </c>
      <c r="C16" s="8">
        <v>186500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60310-1496-4DF0-8720-F24B06635682}">
  <dimension ref="A3:B16"/>
  <sheetViews>
    <sheetView workbookViewId="0">
      <selection activeCell="M19" sqref="M19"/>
    </sheetView>
  </sheetViews>
  <sheetFormatPr defaultRowHeight="14.4" x14ac:dyDescent="0.3"/>
  <cols>
    <col min="1" max="1" width="12.5546875" bestFit="1" customWidth="1"/>
    <col min="2" max="2" width="16.44140625" bestFit="1" customWidth="1"/>
    <col min="3" max="3" width="14.88671875" bestFit="1" customWidth="1"/>
    <col min="4" max="4" width="8.6640625" bestFit="1" customWidth="1"/>
    <col min="5" max="5" width="10.77734375" bestFit="1" customWidth="1"/>
  </cols>
  <sheetData>
    <row r="3" spans="1:2" x14ac:dyDescent="0.3">
      <c r="A3" s="6" t="s">
        <v>48</v>
      </c>
      <c r="B3" t="s">
        <v>53</v>
      </c>
    </row>
    <row r="4" spans="1:2" x14ac:dyDescent="0.3">
      <c r="A4" s="7" t="s">
        <v>27</v>
      </c>
      <c r="B4" s="8">
        <v>3</v>
      </c>
    </row>
    <row r="5" spans="1:2" x14ac:dyDescent="0.3">
      <c r="A5" s="7" t="s">
        <v>16</v>
      </c>
      <c r="B5" s="8">
        <v>3</v>
      </c>
    </row>
    <row r="6" spans="1:2" x14ac:dyDescent="0.3">
      <c r="A6" s="7" t="s">
        <v>37</v>
      </c>
      <c r="B6" s="8">
        <v>2</v>
      </c>
    </row>
    <row r="7" spans="1:2" x14ac:dyDescent="0.3">
      <c r="A7" s="7" t="s">
        <v>39</v>
      </c>
      <c r="B7" s="8">
        <v>2</v>
      </c>
    </row>
    <row r="8" spans="1:2" x14ac:dyDescent="0.3">
      <c r="A8" s="7" t="s">
        <v>33</v>
      </c>
      <c r="B8" s="8">
        <v>2</v>
      </c>
    </row>
    <row r="9" spans="1:2" x14ac:dyDescent="0.3">
      <c r="A9" s="7" t="s">
        <v>42</v>
      </c>
      <c r="B9" s="8">
        <v>2</v>
      </c>
    </row>
    <row r="10" spans="1:2" x14ac:dyDescent="0.3">
      <c r="A10" s="7" t="s">
        <v>25</v>
      </c>
      <c r="B10" s="8">
        <v>3</v>
      </c>
    </row>
    <row r="11" spans="1:2" x14ac:dyDescent="0.3">
      <c r="A11" s="7" t="s">
        <v>29</v>
      </c>
      <c r="B11" s="8">
        <v>3</v>
      </c>
    </row>
    <row r="12" spans="1:2" x14ac:dyDescent="0.3">
      <c r="A12" s="7" t="s">
        <v>11</v>
      </c>
      <c r="B12" s="8">
        <v>3</v>
      </c>
    </row>
    <row r="13" spans="1:2" x14ac:dyDescent="0.3">
      <c r="A13" s="7" t="s">
        <v>31</v>
      </c>
      <c r="B13" s="8">
        <v>2</v>
      </c>
    </row>
    <row r="14" spans="1:2" x14ac:dyDescent="0.3">
      <c r="A14" s="7" t="s">
        <v>35</v>
      </c>
      <c r="B14" s="8">
        <v>2</v>
      </c>
    </row>
    <row r="15" spans="1:2" x14ac:dyDescent="0.3">
      <c r="A15" s="7" t="s">
        <v>20</v>
      </c>
      <c r="B15" s="8">
        <v>3</v>
      </c>
    </row>
    <row r="16" spans="1:2" x14ac:dyDescent="0.3">
      <c r="A16" s="7" t="s">
        <v>49</v>
      </c>
      <c r="B16" s="8">
        <v>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9FF0-7D1A-4E74-AEDE-64BFB9D3B481}">
  <dimension ref="A3:B16"/>
  <sheetViews>
    <sheetView workbookViewId="0">
      <selection activeCell="U15" sqref="U15"/>
    </sheetView>
  </sheetViews>
  <sheetFormatPr defaultRowHeight="14.4" x14ac:dyDescent="0.3"/>
  <cols>
    <col min="1" max="1" width="12.5546875" bestFit="1" customWidth="1"/>
    <col min="2" max="2" width="16.33203125" bestFit="1" customWidth="1"/>
    <col min="3" max="7" width="4" bestFit="1" customWidth="1"/>
    <col min="8" max="15" width="5" bestFit="1" customWidth="1"/>
    <col min="16" max="30" width="6" bestFit="1" customWidth="1"/>
    <col min="31" max="31" width="10.77734375" bestFit="1" customWidth="1"/>
  </cols>
  <sheetData>
    <row r="3" spans="1:2" x14ac:dyDescent="0.3">
      <c r="A3" s="6" t="s">
        <v>48</v>
      </c>
      <c r="B3" t="s">
        <v>55</v>
      </c>
    </row>
    <row r="4" spans="1:2" x14ac:dyDescent="0.3">
      <c r="A4" s="7" t="s">
        <v>32</v>
      </c>
      <c r="B4" s="8">
        <v>12200</v>
      </c>
    </row>
    <row r="5" spans="1:2" x14ac:dyDescent="0.3">
      <c r="A5" s="7" t="s">
        <v>26</v>
      </c>
      <c r="B5" s="8">
        <v>19000</v>
      </c>
    </row>
    <row r="6" spans="1:2" x14ac:dyDescent="0.3">
      <c r="A6" s="7" t="s">
        <v>40</v>
      </c>
      <c r="B6" s="8">
        <v>1450</v>
      </c>
    </row>
    <row r="7" spans="1:2" x14ac:dyDescent="0.3">
      <c r="A7" s="7" t="s">
        <v>36</v>
      </c>
      <c r="B7" s="8">
        <v>2850</v>
      </c>
    </row>
    <row r="8" spans="1:2" x14ac:dyDescent="0.3">
      <c r="A8" s="7" t="s">
        <v>12</v>
      </c>
      <c r="B8" s="8">
        <v>147000</v>
      </c>
    </row>
    <row r="9" spans="1:2" x14ac:dyDescent="0.3">
      <c r="A9" s="7" t="s">
        <v>17</v>
      </c>
      <c r="B9" s="8">
        <v>35000</v>
      </c>
    </row>
    <row r="10" spans="1:2" x14ac:dyDescent="0.3">
      <c r="A10" s="7" t="s">
        <v>34</v>
      </c>
      <c r="B10" s="8">
        <v>34300</v>
      </c>
    </row>
    <row r="11" spans="1:2" x14ac:dyDescent="0.3">
      <c r="A11" s="7" t="s">
        <v>38</v>
      </c>
      <c r="B11" s="8">
        <v>1050</v>
      </c>
    </row>
    <row r="12" spans="1:2" x14ac:dyDescent="0.3">
      <c r="A12" s="7" t="s">
        <v>21</v>
      </c>
      <c r="B12" s="8">
        <v>9700</v>
      </c>
    </row>
    <row r="13" spans="1:2" x14ac:dyDescent="0.3">
      <c r="A13" s="7" t="s">
        <v>30</v>
      </c>
      <c r="B13" s="8">
        <v>36700</v>
      </c>
    </row>
    <row r="14" spans="1:2" x14ac:dyDescent="0.3">
      <c r="A14" s="7" t="s">
        <v>43</v>
      </c>
      <c r="B14" s="8">
        <v>5100</v>
      </c>
    </row>
    <row r="15" spans="1:2" x14ac:dyDescent="0.3">
      <c r="A15" s="7" t="s">
        <v>28</v>
      </c>
      <c r="B15" s="8">
        <v>45000</v>
      </c>
    </row>
    <row r="16" spans="1:2" x14ac:dyDescent="0.3">
      <c r="A16" s="7" t="s">
        <v>49</v>
      </c>
      <c r="B16" s="8">
        <v>349350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CC29-0A8F-48EF-AC48-F5E67BFCDB41}">
  <dimension ref="A1:W27"/>
  <sheetViews>
    <sheetView showGridLines="0" tabSelected="1" zoomScale="96" workbookViewId="0">
      <selection activeCell="X23" sqref="X23"/>
    </sheetView>
  </sheetViews>
  <sheetFormatPr defaultRowHeight="14.4" x14ac:dyDescent="0.3"/>
  <cols>
    <col min="1" max="1" width="8.88671875" customWidth="1"/>
    <col min="19" max="19" width="8.6640625" customWidth="1"/>
    <col min="20" max="23" width="8.88671875" hidden="1" customWidth="1"/>
  </cols>
  <sheetData>
    <row r="1" spans="1:23" x14ac:dyDescent="0.3">
      <c r="A1" s="10" t="s">
        <v>56</v>
      </c>
      <c r="B1" s="9"/>
      <c r="C1" s="9"/>
      <c r="D1" s="9"/>
      <c r="E1" s="9"/>
      <c r="F1" s="9"/>
      <c r="G1" s="9"/>
      <c r="H1" s="9"/>
      <c r="I1" s="9"/>
      <c r="J1" s="9"/>
      <c r="K1" s="9"/>
      <c r="L1" s="9"/>
      <c r="M1" s="9"/>
      <c r="N1" s="9"/>
      <c r="O1" s="9"/>
      <c r="P1" s="9"/>
      <c r="Q1" s="9"/>
      <c r="R1" s="9"/>
      <c r="S1" s="9"/>
      <c r="T1" s="9"/>
      <c r="U1" s="9"/>
      <c r="V1" s="9"/>
      <c r="W1" s="9"/>
    </row>
    <row r="2" spans="1:23" x14ac:dyDescent="0.3">
      <c r="A2" s="9"/>
      <c r="B2" s="9"/>
      <c r="C2" s="9"/>
      <c r="D2" s="9"/>
      <c r="E2" s="9"/>
      <c r="F2" s="9"/>
      <c r="G2" s="9"/>
      <c r="H2" s="9"/>
      <c r="I2" s="9"/>
      <c r="J2" s="9"/>
      <c r="K2" s="9"/>
      <c r="L2" s="9"/>
      <c r="M2" s="9"/>
      <c r="N2" s="9"/>
      <c r="O2" s="9"/>
      <c r="P2" s="9"/>
      <c r="Q2" s="9"/>
      <c r="R2" s="9"/>
      <c r="S2" s="9"/>
      <c r="T2" s="9"/>
      <c r="U2" s="9"/>
      <c r="V2" s="9"/>
      <c r="W2" s="9"/>
    </row>
    <row r="3" spans="1:23" x14ac:dyDescent="0.3">
      <c r="A3" s="12"/>
      <c r="B3" s="12"/>
      <c r="C3" s="12"/>
      <c r="D3" s="12"/>
      <c r="E3" s="12"/>
      <c r="F3" s="12"/>
      <c r="G3" s="12"/>
      <c r="H3" s="12"/>
      <c r="I3" s="12"/>
      <c r="J3" s="12"/>
      <c r="K3" s="12"/>
      <c r="L3" s="12"/>
      <c r="M3" s="12"/>
      <c r="N3" s="12"/>
      <c r="O3" s="12"/>
      <c r="P3" s="12"/>
      <c r="Q3" s="12"/>
      <c r="R3" s="12"/>
      <c r="S3" s="12"/>
    </row>
    <row r="4" spans="1:23" x14ac:dyDescent="0.3">
      <c r="A4" s="12"/>
      <c r="B4" s="12"/>
      <c r="C4" s="12"/>
      <c r="D4" s="12"/>
      <c r="E4" s="12"/>
      <c r="F4" s="12"/>
      <c r="G4" s="12"/>
      <c r="H4" s="12"/>
      <c r="I4" s="12"/>
      <c r="J4" s="12"/>
      <c r="K4" s="12"/>
      <c r="L4" s="12"/>
      <c r="M4" s="12"/>
      <c r="N4" s="12"/>
      <c r="O4" s="12"/>
      <c r="P4" s="12"/>
      <c r="Q4" s="12"/>
      <c r="R4" s="12"/>
      <c r="S4" s="12"/>
    </row>
    <row r="5" spans="1:23" x14ac:dyDescent="0.3">
      <c r="A5" s="12"/>
      <c r="B5" s="12"/>
      <c r="C5" s="12"/>
      <c r="D5" s="12"/>
      <c r="E5" s="12"/>
      <c r="F5" s="12"/>
      <c r="G5" s="12"/>
      <c r="H5" s="12"/>
      <c r="I5" s="12"/>
      <c r="J5" s="12"/>
      <c r="K5" s="12"/>
      <c r="L5" s="12"/>
      <c r="M5" s="12"/>
      <c r="N5" s="12"/>
      <c r="O5" s="12"/>
      <c r="P5" s="12"/>
      <c r="Q5" s="12"/>
      <c r="R5" s="12"/>
      <c r="S5" s="12"/>
    </row>
    <row r="6" spans="1:23" x14ac:dyDescent="0.3">
      <c r="A6" s="12"/>
      <c r="B6" s="12"/>
      <c r="C6" s="12"/>
      <c r="D6" s="12"/>
      <c r="E6" s="12"/>
      <c r="F6" s="12"/>
      <c r="G6" s="12"/>
      <c r="H6" s="12"/>
      <c r="I6" s="12"/>
      <c r="J6" s="12"/>
      <c r="K6" s="12"/>
      <c r="L6" s="12"/>
      <c r="M6" s="12"/>
      <c r="N6" s="12"/>
      <c r="O6" s="12"/>
      <c r="P6" s="12"/>
      <c r="Q6" s="12"/>
      <c r="R6" s="12"/>
      <c r="S6" s="12"/>
    </row>
    <row r="7" spans="1:23" x14ac:dyDescent="0.3">
      <c r="A7" s="12"/>
      <c r="B7" s="12"/>
      <c r="C7" s="12"/>
      <c r="D7" s="12"/>
      <c r="E7" s="12"/>
      <c r="F7" s="12"/>
      <c r="G7" s="12"/>
      <c r="H7" s="12"/>
      <c r="I7" s="12"/>
      <c r="J7" s="12"/>
      <c r="K7" s="12"/>
      <c r="L7" s="12"/>
      <c r="M7" s="12"/>
      <c r="N7" s="12"/>
      <c r="O7" s="12"/>
      <c r="P7" s="12"/>
      <c r="Q7" s="12"/>
      <c r="R7" s="12"/>
      <c r="S7" s="12"/>
    </row>
    <row r="8" spans="1:23" x14ac:dyDescent="0.3">
      <c r="A8" s="12"/>
      <c r="B8" s="12"/>
      <c r="C8" s="12"/>
      <c r="D8" s="12"/>
      <c r="E8" s="12"/>
      <c r="F8" s="12"/>
      <c r="G8" s="12"/>
      <c r="H8" s="12"/>
      <c r="I8" s="12"/>
      <c r="J8" s="12"/>
      <c r="K8" s="12"/>
      <c r="L8" s="12"/>
      <c r="M8" s="12"/>
      <c r="N8" s="12"/>
      <c r="O8" s="12"/>
      <c r="P8" s="12"/>
      <c r="Q8" s="12"/>
      <c r="R8" s="12"/>
      <c r="S8" s="12"/>
    </row>
    <row r="9" spans="1:23" x14ac:dyDescent="0.3">
      <c r="A9" s="12"/>
      <c r="B9" s="12"/>
      <c r="C9" s="12"/>
      <c r="D9" s="12"/>
      <c r="E9" s="12"/>
      <c r="F9" s="12"/>
      <c r="G9" s="12"/>
      <c r="H9" s="12"/>
      <c r="I9" s="12"/>
      <c r="J9" s="12"/>
      <c r="K9" s="12"/>
      <c r="L9" s="12"/>
      <c r="M9" s="12"/>
      <c r="N9" s="12"/>
      <c r="O9" s="12"/>
      <c r="P9" s="12"/>
      <c r="Q9" s="12"/>
      <c r="R9" s="12"/>
      <c r="S9" s="12"/>
    </row>
    <row r="10" spans="1:23" x14ac:dyDescent="0.3">
      <c r="A10" s="12"/>
      <c r="B10" s="12"/>
      <c r="C10" s="12"/>
      <c r="D10" s="12"/>
      <c r="E10" s="12"/>
      <c r="F10" s="12"/>
      <c r="G10" s="12"/>
      <c r="H10" s="12"/>
      <c r="I10" s="12"/>
      <c r="J10" s="12"/>
      <c r="K10" s="12"/>
      <c r="L10" s="12"/>
      <c r="M10" s="12"/>
      <c r="N10" s="12"/>
      <c r="O10" s="12"/>
      <c r="P10" s="12"/>
      <c r="Q10" s="12"/>
      <c r="R10" s="12"/>
      <c r="S10" s="12"/>
    </row>
    <row r="11" spans="1:23" x14ac:dyDescent="0.3">
      <c r="A11" s="12"/>
      <c r="B11" s="12"/>
      <c r="C11" s="12"/>
      <c r="D11" s="12"/>
      <c r="E11" s="12"/>
      <c r="F11" s="12"/>
      <c r="G11" s="12"/>
      <c r="H11" s="12"/>
      <c r="I11" s="12"/>
      <c r="J11" s="12"/>
      <c r="K11" s="12"/>
      <c r="L11" s="12"/>
      <c r="M11" s="12"/>
      <c r="N11" s="12"/>
      <c r="O11" s="12"/>
      <c r="P11" s="12"/>
      <c r="Q11" s="12"/>
      <c r="R11" s="12"/>
      <c r="S11" s="12"/>
    </row>
    <row r="12" spans="1:23" x14ac:dyDescent="0.3">
      <c r="A12" s="12"/>
      <c r="B12" s="12"/>
      <c r="C12" s="12"/>
      <c r="D12" s="12"/>
      <c r="E12" s="12"/>
      <c r="F12" s="12"/>
      <c r="G12" s="12"/>
      <c r="H12" s="12"/>
      <c r="I12" s="12"/>
      <c r="J12" s="12"/>
      <c r="K12" s="12"/>
      <c r="L12" s="12"/>
      <c r="M12" s="12"/>
      <c r="N12" s="12"/>
      <c r="O12" s="12"/>
      <c r="P12" s="12"/>
      <c r="Q12" s="12"/>
      <c r="R12" s="12"/>
      <c r="S12" s="12"/>
    </row>
    <row r="13" spans="1:23" x14ac:dyDescent="0.3">
      <c r="A13" s="12"/>
      <c r="B13" s="12"/>
      <c r="C13" s="12"/>
      <c r="D13" s="12"/>
      <c r="E13" s="12"/>
      <c r="F13" s="12"/>
      <c r="G13" s="12"/>
      <c r="H13" s="12"/>
      <c r="I13" s="12"/>
      <c r="J13" s="12"/>
      <c r="K13" s="12"/>
      <c r="L13" s="12"/>
      <c r="M13" s="12"/>
      <c r="N13" s="12"/>
      <c r="O13" s="12"/>
      <c r="P13" s="12"/>
      <c r="Q13" s="12"/>
      <c r="R13" s="12"/>
      <c r="S13" s="12"/>
    </row>
    <row r="14" spans="1:23" x14ac:dyDescent="0.3">
      <c r="A14" s="12"/>
      <c r="B14" s="12"/>
      <c r="C14" s="12"/>
      <c r="D14" s="12"/>
      <c r="E14" s="12"/>
      <c r="F14" s="12"/>
      <c r="G14" s="12"/>
      <c r="H14" s="12"/>
      <c r="I14" s="12"/>
      <c r="J14" s="12"/>
      <c r="K14" s="12"/>
      <c r="L14" s="12"/>
      <c r="M14" s="12"/>
      <c r="N14" s="12"/>
      <c r="O14" s="12"/>
      <c r="P14" s="12"/>
      <c r="Q14" s="12"/>
      <c r="R14" s="12"/>
      <c r="S14" s="12"/>
    </row>
    <row r="15" spans="1:23" x14ac:dyDescent="0.3">
      <c r="A15" s="12"/>
      <c r="B15" s="12"/>
      <c r="C15" s="12"/>
      <c r="D15" s="12"/>
      <c r="E15" s="12"/>
      <c r="F15" s="12"/>
      <c r="G15" s="12"/>
      <c r="H15" s="12"/>
      <c r="I15" s="12"/>
      <c r="J15" s="12"/>
      <c r="K15" s="12"/>
      <c r="L15" s="12"/>
      <c r="M15" s="12"/>
      <c r="N15" s="12"/>
      <c r="O15" s="12"/>
      <c r="P15" s="12"/>
      <c r="Q15" s="12"/>
      <c r="R15" s="12"/>
      <c r="S15" s="12"/>
    </row>
    <row r="16" spans="1:23"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sheetData>
  <mergeCells count="1">
    <mergeCell ref="A1:W2"/>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AD79-EA12-4E10-A875-BBF81D96BC9A}">
  <dimension ref="A3:E9"/>
  <sheetViews>
    <sheetView workbookViewId="0">
      <selection activeCell="I21" sqref="I21"/>
    </sheetView>
  </sheetViews>
  <sheetFormatPr defaultRowHeight="14.4" x14ac:dyDescent="0.3"/>
  <cols>
    <col min="1" max="1" width="19.21875" bestFit="1" customWidth="1"/>
    <col min="2" max="2" width="15.5546875" bestFit="1" customWidth="1"/>
    <col min="3" max="3" width="10" bestFit="1" customWidth="1"/>
    <col min="4" max="4" width="8.6640625" bestFit="1" customWidth="1"/>
    <col min="5" max="5" width="10.77734375" bestFit="1" customWidth="1"/>
    <col min="6" max="6" width="14.88671875" bestFit="1" customWidth="1"/>
    <col min="7" max="7" width="19.21875" bestFit="1" customWidth="1"/>
    <col min="8" max="8" width="19.6640625" bestFit="1" customWidth="1"/>
    <col min="9" max="9" width="24" bestFit="1" customWidth="1"/>
    <col min="10" max="10" width="6.6640625" bestFit="1" customWidth="1"/>
    <col min="11" max="11" width="6.21875" bestFit="1" customWidth="1"/>
    <col min="12" max="12" width="14.77734375" bestFit="1" customWidth="1"/>
    <col min="13" max="13" width="10.6640625" bestFit="1" customWidth="1"/>
    <col min="14" max="14" width="5" bestFit="1" customWidth="1"/>
    <col min="15" max="15" width="10.77734375" bestFit="1" customWidth="1"/>
    <col min="16" max="16" width="13.44140625" bestFit="1" customWidth="1"/>
    <col min="17" max="17" width="10.77734375" bestFit="1" customWidth="1"/>
    <col min="18" max="22" width="6.44140625" bestFit="1" customWidth="1"/>
    <col min="23" max="31" width="6.6640625" bestFit="1" customWidth="1"/>
    <col min="32" max="32" width="10.77734375" bestFit="1" customWidth="1"/>
  </cols>
  <sheetData>
    <row r="3" spans="1:5" x14ac:dyDescent="0.3">
      <c r="A3" s="6" t="s">
        <v>57</v>
      </c>
      <c r="B3" s="6" t="s">
        <v>54</v>
      </c>
    </row>
    <row r="4" spans="1:5" x14ac:dyDescent="0.3">
      <c r="A4" s="6" t="s">
        <v>48</v>
      </c>
      <c r="B4" t="s">
        <v>41</v>
      </c>
      <c r="C4" t="s">
        <v>13</v>
      </c>
      <c r="D4" t="s">
        <v>22</v>
      </c>
      <c r="E4" t="s">
        <v>49</v>
      </c>
    </row>
    <row r="5" spans="1:5" x14ac:dyDescent="0.3">
      <c r="A5" s="7" t="s">
        <v>19</v>
      </c>
      <c r="B5" s="11">
        <v>0.41666666666666669</v>
      </c>
      <c r="C5" s="11">
        <v>0.80704275055454722</v>
      </c>
      <c r="D5" s="11">
        <v>0.53888888888888886</v>
      </c>
      <c r="E5" s="11">
        <v>1.7625983061101027</v>
      </c>
    </row>
    <row r="6" spans="1:5" x14ac:dyDescent="0.3">
      <c r="A6" s="7" t="s">
        <v>10</v>
      </c>
      <c r="B6" s="11"/>
      <c r="C6" s="11">
        <v>1.6052938223716213</v>
      </c>
      <c r="D6" s="11">
        <v>0.28888888888888886</v>
      </c>
      <c r="E6" s="11">
        <v>1.8941827112605103</v>
      </c>
    </row>
    <row r="7" spans="1:5" x14ac:dyDescent="0.3">
      <c r="A7" s="7" t="s">
        <v>15</v>
      </c>
      <c r="B7" s="11"/>
      <c r="C7" s="11">
        <v>1.2939149560117302</v>
      </c>
      <c r="D7" s="11">
        <v>0.75728036544579491</v>
      </c>
      <c r="E7" s="11">
        <v>2.0511953214575254</v>
      </c>
    </row>
    <row r="8" spans="1:5" x14ac:dyDescent="0.3">
      <c r="A8" s="7" t="s">
        <v>24</v>
      </c>
      <c r="B8" s="11">
        <v>0.4</v>
      </c>
      <c r="C8" s="11">
        <v>1.1692355889724311</v>
      </c>
      <c r="D8" s="11">
        <v>0.25</v>
      </c>
      <c r="E8" s="11">
        <v>1.8192355889724312</v>
      </c>
    </row>
    <row r="9" spans="1:5" x14ac:dyDescent="0.3">
      <c r="A9" s="7" t="s">
        <v>49</v>
      </c>
      <c r="B9" s="11">
        <v>0.81666666666666665</v>
      </c>
      <c r="C9" s="11">
        <v>4.8754871179103301</v>
      </c>
      <c r="D9" s="11">
        <v>1.8350581432235726</v>
      </c>
      <c r="E9" s="11">
        <v>7.52721192780057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4E9C-33C9-4B69-8DFD-22D89BACA647}">
  <dimension ref="A3:B9"/>
  <sheetViews>
    <sheetView workbookViewId="0">
      <selection activeCell="A3" sqref="A3"/>
    </sheetView>
  </sheetViews>
  <sheetFormatPr defaultRowHeight="14.4" x14ac:dyDescent="0.3"/>
  <cols>
    <col min="1" max="1" width="12.5546875" bestFit="1" customWidth="1"/>
    <col min="2" max="2" width="12.109375" bestFit="1" customWidth="1"/>
  </cols>
  <sheetData>
    <row r="3" spans="1:2" x14ac:dyDescent="0.3">
      <c r="A3" s="6" t="s">
        <v>48</v>
      </c>
      <c r="B3" t="s">
        <v>50</v>
      </c>
    </row>
    <row r="4" spans="1:2" x14ac:dyDescent="0.3">
      <c r="A4" s="7" t="s">
        <v>12</v>
      </c>
      <c r="B4" s="8">
        <v>28000</v>
      </c>
    </row>
    <row r="5" spans="1:2" x14ac:dyDescent="0.3">
      <c r="A5" s="7" t="s">
        <v>17</v>
      </c>
      <c r="B5" s="8">
        <v>17000</v>
      </c>
    </row>
    <row r="6" spans="1:2" x14ac:dyDescent="0.3">
      <c r="A6" s="7" t="s">
        <v>34</v>
      </c>
      <c r="B6" s="8">
        <v>24000</v>
      </c>
    </row>
    <row r="7" spans="1:2" x14ac:dyDescent="0.3">
      <c r="A7" s="7" t="s">
        <v>21</v>
      </c>
      <c r="B7" s="8">
        <v>15600</v>
      </c>
    </row>
    <row r="8" spans="1:2" x14ac:dyDescent="0.3">
      <c r="A8" s="7" t="s">
        <v>28</v>
      </c>
      <c r="B8" s="8">
        <v>36000</v>
      </c>
    </row>
    <row r="9" spans="1:2" x14ac:dyDescent="0.3">
      <c r="A9" s="7" t="s">
        <v>49</v>
      </c>
      <c r="B9" s="8">
        <v>120600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4E3FC-F7BB-4431-9E84-BC7111504BE3}">
  <dimension ref="A1:Z32"/>
  <sheetViews>
    <sheetView topLeftCell="A14" workbookViewId="0">
      <selection activeCell="P31" sqref="P31"/>
    </sheetView>
  </sheetViews>
  <sheetFormatPr defaultRowHeight="14.4" x14ac:dyDescent="0.3"/>
  <cols>
    <col min="1" max="1" width="10.6640625" style="1" bestFit="1" customWidth="1"/>
    <col min="2" max="2" width="15.109375" style="1" bestFit="1" customWidth="1"/>
    <col min="3" max="3" width="11.21875" style="1" bestFit="1" customWidth="1"/>
    <col min="4" max="4" width="15.44140625" style="1" bestFit="1" customWidth="1"/>
    <col min="5" max="5" width="10.6640625" style="1" bestFit="1" customWidth="1"/>
    <col min="6" max="6" width="10.5546875" style="1" bestFit="1" customWidth="1"/>
    <col min="7" max="7" width="10.21875" style="1" customWidth="1"/>
    <col min="8" max="8" width="14.109375" style="1" bestFit="1" customWidth="1"/>
    <col min="9" max="9" width="11.88671875" style="1" bestFit="1" customWidth="1"/>
    <col min="10" max="10" width="16.44140625" style="1" customWidth="1"/>
    <col min="11" max="11" width="10.5546875" style="1" bestFit="1" customWidth="1"/>
    <col min="12" max="12" width="12.109375" style="1" bestFit="1" customWidth="1"/>
    <col min="13" max="13" width="7.88671875" style="1" bestFit="1" customWidth="1"/>
    <col min="14" max="14" width="14.77734375" style="1" bestFit="1" customWidth="1"/>
    <col min="15" max="23" width="8.88671875" style="1"/>
    <col min="24" max="24" width="12.5546875" style="1" bestFit="1" customWidth="1"/>
    <col min="25" max="25" width="12.109375" style="1" bestFit="1" customWidth="1"/>
    <col min="26" max="16384" width="8.88671875" style="1"/>
  </cols>
  <sheetData>
    <row r="1" spans="1:26" x14ac:dyDescent="0.3">
      <c r="A1" s="1" t="s">
        <v>0</v>
      </c>
      <c r="B1" s="2" t="s">
        <v>1</v>
      </c>
      <c r="C1" s="1" t="s">
        <v>2</v>
      </c>
      <c r="D1" s="1" t="s">
        <v>3</v>
      </c>
      <c r="E1" s="1" t="s">
        <v>4</v>
      </c>
      <c r="F1" s="1" t="s">
        <v>5</v>
      </c>
      <c r="G1" s="1" t="s">
        <v>6</v>
      </c>
      <c r="H1" s="1" t="s">
        <v>7</v>
      </c>
      <c r="I1" s="1" t="s">
        <v>8</v>
      </c>
      <c r="J1" s="1" t="s">
        <v>9</v>
      </c>
      <c r="K1" s="1" t="s">
        <v>44</v>
      </c>
      <c r="L1" s="1" t="s">
        <v>45</v>
      </c>
      <c r="M1" s="1" t="s">
        <v>46</v>
      </c>
      <c r="N1" s="3" t="s">
        <v>47</v>
      </c>
    </row>
    <row r="2" spans="1:26" x14ac:dyDescent="0.3">
      <c r="A2">
        <v>1029</v>
      </c>
      <c r="B2" s="4">
        <v>45337</v>
      </c>
      <c r="C2" t="s">
        <v>10</v>
      </c>
      <c r="D2" t="s">
        <v>27</v>
      </c>
      <c r="E2" t="s">
        <v>34</v>
      </c>
      <c r="F2" t="s">
        <v>13</v>
      </c>
      <c r="G2">
        <v>2</v>
      </c>
      <c r="H2">
        <v>14800</v>
      </c>
      <c r="I2">
        <v>11800</v>
      </c>
      <c r="J2" t="s">
        <v>14</v>
      </c>
      <c r="K2">
        <f>Table1[[#This Row],[Quantity]]*Table1[[#This Row],[Unit_Price]]</f>
        <v>29600</v>
      </c>
      <c r="L2">
        <f>Table1[[#This Row],[Quantity]]*Table1[[#This Row],[Cost_Price]]</f>
        <v>23600</v>
      </c>
      <c r="M2">
        <f>Table1[[#This Row],[Revenue]]-Table1[[#This Row],[Total_Cost]]</f>
        <v>6000</v>
      </c>
      <c r="N2" s="5">
        <f>Table1[[#This Row],[Profit]]/Table1[[#This Row],[Revenue]]</f>
        <v>0.20270270270270271</v>
      </c>
    </row>
    <row r="3" spans="1:26" x14ac:dyDescent="0.3">
      <c r="A3">
        <v>1005</v>
      </c>
      <c r="B3" s="4">
        <v>45296</v>
      </c>
      <c r="C3" t="s">
        <v>10</v>
      </c>
      <c r="D3" t="s">
        <v>27</v>
      </c>
      <c r="E3" t="s">
        <v>28</v>
      </c>
      <c r="F3" t="s">
        <v>13</v>
      </c>
      <c r="G3">
        <v>4</v>
      </c>
      <c r="H3">
        <v>18000</v>
      </c>
      <c r="I3">
        <v>15000</v>
      </c>
      <c r="J3" t="s">
        <v>18</v>
      </c>
      <c r="K3">
        <f>Table1[[#This Row],[Quantity]]*Table1[[#This Row],[Unit_Price]]</f>
        <v>72000</v>
      </c>
      <c r="L3">
        <f>Table1[[#This Row],[Quantity]]*Table1[[#This Row],[Cost_Price]]</f>
        <v>60000</v>
      </c>
      <c r="M3">
        <f>Table1[[#This Row],[Revenue]]-Table1[[#This Row],[Total_Cost]]</f>
        <v>12000</v>
      </c>
      <c r="N3" s="5">
        <f>Table1[[#This Row],[Profit]]/Table1[[#This Row],[Revenue]]</f>
        <v>0.16666666666666666</v>
      </c>
    </row>
    <row r="4" spans="1:26" x14ac:dyDescent="0.3">
      <c r="A4">
        <v>1017</v>
      </c>
      <c r="B4" s="4">
        <v>45313</v>
      </c>
      <c r="C4" t="s">
        <v>10</v>
      </c>
      <c r="D4" t="s">
        <v>27</v>
      </c>
      <c r="E4" t="s">
        <v>30</v>
      </c>
      <c r="F4" t="s">
        <v>13</v>
      </c>
      <c r="G4">
        <v>2</v>
      </c>
      <c r="H4">
        <v>15500</v>
      </c>
      <c r="I4">
        <v>12500</v>
      </c>
      <c r="J4" t="s">
        <v>18</v>
      </c>
      <c r="K4">
        <f>Table1[[#This Row],[Quantity]]*Table1[[#This Row],[Unit_Price]]</f>
        <v>31000</v>
      </c>
      <c r="L4">
        <f>Table1[[#This Row],[Quantity]]*Table1[[#This Row],[Cost_Price]]</f>
        <v>25000</v>
      </c>
      <c r="M4">
        <f>Table1[[#This Row],[Revenue]]-Table1[[#This Row],[Total_Cost]]</f>
        <v>6000</v>
      </c>
      <c r="N4" s="5">
        <f>Table1[[#This Row],[Profit]]/Table1[[#This Row],[Revenue]]</f>
        <v>0.19354838709677419</v>
      </c>
    </row>
    <row r="5" spans="1:26" x14ac:dyDescent="0.3">
      <c r="A5">
        <v>1026</v>
      </c>
      <c r="B5" s="4">
        <v>45331</v>
      </c>
      <c r="C5" t="s">
        <v>15</v>
      </c>
      <c r="D5" t="s">
        <v>16</v>
      </c>
      <c r="E5" t="s">
        <v>21</v>
      </c>
      <c r="F5" t="s">
        <v>22</v>
      </c>
      <c r="G5">
        <v>3</v>
      </c>
      <c r="H5">
        <v>4600</v>
      </c>
      <c r="I5">
        <v>3300</v>
      </c>
      <c r="J5" t="s">
        <v>23</v>
      </c>
      <c r="K5">
        <f>Table1[[#This Row],[Quantity]]*Table1[[#This Row],[Unit_Price]]</f>
        <v>13800</v>
      </c>
      <c r="L5">
        <f>Table1[[#This Row],[Quantity]]*Table1[[#This Row],[Cost_Price]]</f>
        <v>9900</v>
      </c>
      <c r="M5">
        <f>Table1[[#This Row],[Revenue]]-Table1[[#This Row],[Total_Cost]]</f>
        <v>3900</v>
      </c>
      <c r="N5" s="5">
        <f>Table1[[#This Row],[Profit]]/Table1[[#This Row],[Revenue]]</f>
        <v>0.28260869565217389</v>
      </c>
    </row>
    <row r="6" spans="1:26" x14ac:dyDescent="0.3">
      <c r="A6">
        <v>1002</v>
      </c>
      <c r="B6" s="4">
        <v>45293</v>
      </c>
      <c r="C6" t="s">
        <v>15</v>
      </c>
      <c r="D6" t="s">
        <v>16</v>
      </c>
      <c r="E6" t="s">
        <v>17</v>
      </c>
      <c r="F6" t="s">
        <v>13</v>
      </c>
      <c r="G6">
        <v>3</v>
      </c>
      <c r="H6">
        <v>20000</v>
      </c>
      <c r="I6">
        <v>17000</v>
      </c>
      <c r="J6" t="s">
        <v>18</v>
      </c>
      <c r="K6">
        <f>Table1[[#This Row],[Quantity]]*Table1[[#This Row],[Unit_Price]]</f>
        <v>60000</v>
      </c>
      <c r="L6">
        <f>Table1[[#This Row],[Quantity]]*Table1[[#This Row],[Cost_Price]]</f>
        <v>51000</v>
      </c>
      <c r="M6">
        <f>Table1[[#This Row],[Revenue]]-Table1[[#This Row],[Total_Cost]]</f>
        <v>9000</v>
      </c>
      <c r="N6" s="5">
        <f>Table1[[#This Row],[Profit]]/Table1[[#This Row],[Revenue]]</f>
        <v>0.15</v>
      </c>
    </row>
    <row r="7" spans="1:26" x14ac:dyDescent="0.3">
      <c r="A7">
        <v>1014</v>
      </c>
      <c r="B7" s="4">
        <v>45307</v>
      </c>
      <c r="C7" t="s">
        <v>15</v>
      </c>
      <c r="D7" t="s">
        <v>16</v>
      </c>
      <c r="E7" t="s">
        <v>17</v>
      </c>
      <c r="F7" t="s">
        <v>13</v>
      </c>
      <c r="G7">
        <v>2</v>
      </c>
      <c r="H7">
        <v>22000</v>
      </c>
      <c r="I7">
        <v>18000</v>
      </c>
      <c r="J7" t="s">
        <v>18</v>
      </c>
      <c r="K7">
        <f>Table1[[#This Row],[Quantity]]*Table1[[#This Row],[Unit_Price]]</f>
        <v>44000</v>
      </c>
      <c r="L7">
        <f>Table1[[#This Row],[Quantity]]*Table1[[#This Row],[Cost_Price]]</f>
        <v>36000</v>
      </c>
      <c r="M7">
        <f>Table1[[#This Row],[Revenue]]-Table1[[#This Row],[Total_Cost]]</f>
        <v>8000</v>
      </c>
      <c r="N7" s="5">
        <f>Table1[[#This Row],[Profit]]/Table1[[#This Row],[Revenue]]</f>
        <v>0.18181818181818182</v>
      </c>
    </row>
    <row r="8" spans="1:26" x14ac:dyDescent="0.3">
      <c r="A8">
        <v>1022</v>
      </c>
      <c r="B8" s="4">
        <v>45323</v>
      </c>
      <c r="C8" t="s">
        <v>15</v>
      </c>
      <c r="D8" t="s">
        <v>37</v>
      </c>
      <c r="E8" t="s">
        <v>32</v>
      </c>
      <c r="F8" t="s">
        <v>22</v>
      </c>
      <c r="G8">
        <v>2</v>
      </c>
      <c r="H8">
        <v>8200</v>
      </c>
      <c r="I8">
        <v>6200</v>
      </c>
      <c r="J8" t="s">
        <v>14</v>
      </c>
      <c r="K8">
        <f>Table1[[#This Row],[Quantity]]*Table1[[#This Row],[Unit_Price]]</f>
        <v>16400</v>
      </c>
      <c r="L8">
        <f>Table1[[#This Row],[Quantity]]*Table1[[#This Row],[Cost_Price]]</f>
        <v>12400</v>
      </c>
      <c r="M8">
        <f>Table1[[#This Row],[Revenue]]-Table1[[#This Row],[Total_Cost]]</f>
        <v>4000</v>
      </c>
      <c r="N8" s="5">
        <f>Table1[[#This Row],[Profit]]/Table1[[#This Row],[Revenue]]</f>
        <v>0.24390243902439024</v>
      </c>
    </row>
    <row r="9" spans="1:26" x14ac:dyDescent="0.3">
      <c r="A9">
        <v>1010</v>
      </c>
      <c r="B9" s="4">
        <v>45301</v>
      </c>
      <c r="C9" t="s">
        <v>15</v>
      </c>
      <c r="D9" t="s">
        <v>37</v>
      </c>
      <c r="E9" t="s">
        <v>38</v>
      </c>
      <c r="F9" t="s">
        <v>13</v>
      </c>
      <c r="G9">
        <v>10</v>
      </c>
      <c r="H9">
        <v>800</v>
      </c>
      <c r="I9">
        <v>500</v>
      </c>
      <c r="J9" t="s">
        <v>18</v>
      </c>
      <c r="K9">
        <f>Table1[[#This Row],[Quantity]]*Table1[[#This Row],[Unit_Price]]</f>
        <v>8000</v>
      </c>
      <c r="L9">
        <f>Table1[[#This Row],[Quantity]]*Table1[[#This Row],[Cost_Price]]</f>
        <v>5000</v>
      </c>
      <c r="M9">
        <f>Table1[[#This Row],[Revenue]]-Table1[[#This Row],[Total_Cost]]</f>
        <v>3000</v>
      </c>
      <c r="N9" s="5">
        <f>Table1[[#This Row],[Profit]]/Table1[[#This Row],[Revenue]]</f>
        <v>0.375</v>
      </c>
    </row>
    <row r="10" spans="1:26" x14ac:dyDescent="0.3">
      <c r="A10">
        <v>1011</v>
      </c>
      <c r="B10" s="4">
        <v>45303</v>
      </c>
      <c r="C10" t="s">
        <v>19</v>
      </c>
      <c r="D10" t="s">
        <v>39</v>
      </c>
      <c r="E10" t="s">
        <v>40</v>
      </c>
      <c r="F10" t="s">
        <v>41</v>
      </c>
      <c r="G10">
        <v>5</v>
      </c>
      <c r="H10">
        <v>1200</v>
      </c>
      <c r="I10">
        <v>700</v>
      </c>
      <c r="J10" t="s">
        <v>14</v>
      </c>
      <c r="K10">
        <f>Table1[[#This Row],[Quantity]]*Table1[[#This Row],[Unit_Price]]</f>
        <v>6000</v>
      </c>
      <c r="L10">
        <f>Table1[[#This Row],[Quantity]]*Table1[[#This Row],[Cost_Price]]</f>
        <v>3500</v>
      </c>
      <c r="M10">
        <f>Table1[[#This Row],[Revenue]]-Table1[[#This Row],[Total_Cost]]</f>
        <v>2500</v>
      </c>
      <c r="N10" s="5">
        <f>Table1[[#This Row],[Profit]]/Table1[[#This Row],[Revenue]]</f>
        <v>0.41666666666666669</v>
      </c>
    </row>
    <row r="11" spans="1:26" x14ac:dyDescent="0.3">
      <c r="A11">
        <v>1023</v>
      </c>
      <c r="B11" s="4">
        <v>45325</v>
      </c>
      <c r="C11" t="s">
        <v>19</v>
      </c>
      <c r="D11" t="s">
        <v>39</v>
      </c>
      <c r="E11" t="s">
        <v>43</v>
      </c>
      <c r="F11" t="s">
        <v>13</v>
      </c>
      <c r="G11">
        <v>3</v>
      </c>
      <c r="H11">
        <v>3600</v>
      </c>
      <c r="I11">
        <v>2600</v>
      </c>
      <c r="J11" t="s">
        <v>18</v>
      </c>
      <c r="K11">
        <f>Table1[[#This Row],[Quantity]]*Table1[[#This Row],[Unit_Price]]</f>
        <v>10800</v>
      </c>
      <c r="L11">
        <f>Table1[[#This Row],[Quantity]]*Table1[[#This Row],[Cost_Price]]</f>
        <v>7800</v>
      </c>
      <c r="M11">
        <f>Table1[[#This Row],[Revenue]]-Table1[[#This Row],[Total_Cost]]</f>
        <v>3000</v>
      </c>
      <c r="N11" s="5">
        <f>Table1[[#This Row],[Profit]]/Table1[[#This Row],[Revenue]]</f>
        <v>0.27777777777777779</v>
      </c>
    </row>
    <row r="12" spans="1:26" x14ac:dyDescent="0.3">
      <c r="A12">
        <v>1020</v>
      </c>
      <c r="B12" s="4">
        <v>45318</v>
      </c>
      <c r="C12" t="s">
        <v>24</v>
      </c>
      <c r="D12" t="s">
        <v>33</v>
      </c>
      <c r="E12" t="s">
        <v>36</v>
      </c>
      <c r="F12" t="s">
        <v>13</v>
      </c>
      <c r="G12">
        <v>8</v>
      </c>
      <c r="H12">
        <v>1600</v>
      </c>
      <c r="I12">
        <v>1000</v>
      </c>
      <c r="J12" t="s">
        <v>23</v>
      </c>
      <c r="K12">
        <f>Table1[[#This Row],[Quantity]]*Table1[[#This Row],[Unit_Price]]</f>
        <v>12800</v>
      </c>
      <c r="L12">
        <f>Table1[[#This Row],[Quantity]]*Table1[[#This Row],[Cost_Price]]</f>
        <v>8000</v>
      </c>
      <c r="M12">
        <f>Table1[[#This Row],[Revenue]]-Table1[[#This Row],[Total_Cost]]</f>
        <v>4800</v>
      </c>
      <c r="N12" s="5">
        <f>Table1[[#This Row],[Profit]]/Table1[[#This Row],[Revenue]]</f>
        <v>0.375</v>
      </c>
    </row>
    <row r="13" spans="1:26" x14ac:dyDescent="0.3">
      <c r="A13">
        <v>1008</v>
      </c>
      <c r="B13" s="4">
        <v>45299</v>
      </c>
      <c r="C13" t="s">
        <v>24</v>
      </c>
      <c r="D13" t="s">
        <v>33</v>
      </c>
      <c r="E13" t="s">
        <v>34</v>
      </c>
      <c r="F13" t="s">
        <v>13</v>
      </c>
      <c r="G13">
        <v>2</v>
      </c>
      <c r="H13">
        <v>14000</v>
      </c>
      <c r="I13">
        <v>11000</v>
      </c>
      <c r="J13" t="s">
        <v>18</v>
      </c>
      <c r="K13">
        <f>Table1[[#This Row],[Quantity]]*Table1[[#This Row],[Unit_Price]]</f>
        <v>28000</v>
      </c>
      <c r="L13">
        <f>Table1[[#This Row],[Quantity]]*Table1[[#This Row],[Cost_Price]]</f>
        <v>22000</v>
      </c>
      <c r="M13">
        <f>Table1[[#This Row],[Revenue]]-Table1[[#This Row],[Total_Cost]]</f>
        <v>6000</v>
      </c>
      <c r="N13" s="5">
        <f>Table1[[#This Row],[Profit]]/Table1[[#This Row],[Revenue]]</f>
        <v>0.21428571428571427</v>
      </c>
      <c r="X13"/>
      <c r="Y13"/>
      <c r="Z13"/>
    </row>
    <row r="14" spans="1:26" x14ac:dyDescent="0.3">
      <c r="A14">
        <v>1024</v>
      </c>
      <c r="B14" s="4">
        <v>45327</v>
      </c>
      <c r="C14" t="s">
        <v>24</v>
      </c>
      <c r="D14" t="s">
        <v>42</v>
      </c>
      <c r="E14" t="s">
        <v>12</v>
      </c>
      <c r="F14" t="s">
        <v>13</v>
      </c>
      <c r="G14">
        <v>1</v>
      </c>
      <c r="H14">
        <v>57000</v>
      </c>
      <c r="I14">
        <v>50000</v>
      </c>
      <c r="J14" t="s">
        <v>14</v>
      </c>
      <c r="K14">
        <f>Table1[[#This Row],[Quantity]]*Table1[[#This Row],[Unit_Price]]</f>
        <v>57000</v>
      </c>
      <c r="L14">
        <f>Table1[[#This Row],[Quantity]]*Table1[[#This Row],[Cost_Price]]</f>
        <v>50000</v>
      </c>
      <c r="M14">
        <f>Table1[[#This Row],[Revenue]]-Table1[[#This Row],[Total_Cost]]</f>
        <v>7000</v>
      </c>
      <c r="N14" s="5">
        <f>Table1[[#This Row],[Profit]]/Table1[[#This Row],[Revenue]]</f>
        <v>0.12280701754385964</v>
      </c>
      <c r="X14"/>
      <c r="Y14"/>
      <c r="Z14"/>
    </row>
    <row r="15" spans="1:26" x14ac:dyDescent="0.3">
      <c r="A15">
        <v>1012</v>
      </c>
      <c r="B15" s="4">
        <v>45304</v>
      </c>
      <c r="C15" t="s">
        <v>24</v>
      </c>
      <c r="D15" t="s">
        <v>42</v>
      </c>
      <c r="E15" t="s">
        <v>43</v>
      </c>
      <c r="F15" t="s">
        <v>13</v>
      </c>
      <c r="G15">
        <v>3</v>
      </c>
      <c r="H15">
        <v>3500</v>
      </c>
      <c r="I15">
        <v>2500</v>
      </c>
      <c r="J15" t="s">
        <v>18</v>
      </c>
      <c r="K15">
        <f>Table1[[#This Row],[Quantity]]*Table1[[#This Row],[Unit_Price]]</f>
        <v>10500</v>
      </c>
      <c r="L15">
        <f>Table1[[#This Row],[Quantity]]*Table1[[#This Row],[Cost_Price]]</f>
        <v>7500</v>
      </c>
      <c r="M15">
        <f>Table1[[#This Row],[Revenue]]-Table1[[#This Row],[Total_Cost]]</f>
        <v>3000</v>
      </c>
      <c r="N15" s="5">
        <f>Table1[[#This Row],[Profit]]/Table1[[#This Row],[Revenue]]</f>
        <v>0.2857142857142857</v>
      </c>
      <c r="X15"/>
      <c r="Y15"/>
      <c r="Z15"/>
    </row>
    <row r="16" spans="1:26" x14ac:dyDescent="0.3">
      <c r="A16">
        <v>1004</v>
      </c>
      <c r="B16" s="4">
        <v>45295</v>
      </c>
      <c r="C16" t="s">
        <v>24</v>
      </c>
      <c r="D16" t="s">
        <v>25</v>
      </c>
      <c r="E16" t="s">
        <v>26</v>
      </c>
      <c r="F16" t="s">
        <v>22</v>
      </c>
      <c r="G16">
        <v>2</v>
      </c>
      <c r="H16">
        <v>12000</v>
      </c>
      <c r="I16">
        <v>9000</v>
      </c>
      <c r="J16" t="s">
        <v>14</v>
      </c>
      <c r="K16">
        <f>Table1[[#This Row],[Quantity]]*Table1[[#This Row],[Unit_Price]]</f>
        <v>24000</v>
      </c>
      <c r="L16">
        <f>Table1[[#This Row],[Quantity]]*Table1[[#This Row],[Cost_Price]]</f>
        <v>18000</v>
      </c>
      <c r="M16">
        <f>Table1[[#This Row],[Revenue]]-Table1[[#This Row],[Total_Cost]]</f>
        <v>6000</v>
      </c>
      <c r="N16" s="5">
        <f>Table1[[#This Row],[Profit]]/Table1[[#This Row],[Revenue]]</f>
        <v>0.25</v>
      </c>
      <c r="X16"/>
      <c r="Y16"/>
      <c r="Z16"/>
    </row>
    <row r="17" spans="1:26" x14ac:dyDescent="0.3">
      <c r="A17">
        <v>1016</v>
      </c>
      <c r="B17" s="4">
        <v>45311</v>
      </c>
      <c r="C17" t="s">
        <v>24</v>
      </c>
      <c r="D17" t="s">
        <v>25</v>
      </c>
      <c r="E17" t="s">
        <v>28</v>
      </c>
      <c r="F17" t="s">
        <v>13</v>
      </c>
      <c r="G17">
        <v>3</v>
      </c>
      <c r="H17">
        <v>17500</v>
      </c>
      <c r="I17">
        <v>14500</v>
      </c>
      <c r="J17" t="s">
        <v>23</v>
      </c>
      <c r="K17">
        <f>Table1[[#This Row],[Quantity]]*Table1[[#This Row],[Unit_Price]]</f>
        <v>52500</v>
      </c>
      <c r="L17">
        <f>Table1[[#This Row],[Quantity]]*Table1[[#This Row],[Cost_Price]]</f>
        <v>43500</v>
      </c>
      <c r="M17">
        <f>Table1[[#This Row],[Revenue]]-Table1[[#This Row],[Total_Cost]]</f>
        <v>9000</v>
      </c>
      <c r="N17" s="5">
        <f>Table1[[#This Row],[Profit]]/Table1[[#This Row],[Revenue]]</f>
        <v>0.17142857142857143</v>
      </c>
      <c r="X17"/>
      <c r="Y17"/>
      <c r="Z17"/>
    </row>
    <row r="18" spans="1:26" x14ac:dyDescent="0.3">
      <c r="A18">
        <v>1028</v>
      </c>
      <c r="B18" s="4">
        <v>45335</v>
      </c>
      <c r="C18" t="s">
        <v>24</v>
      </c>
      <c r="D18" t="s">
        <v>25</v>
      </c>
      <c r="E18" t="s">
        <v>40</v>
      </c>
      <c r="F18" t="s">
        <v>41</v>
      </c>
      <c r="G18">
        <v>6</v>
      </c>
      <c r="H18">
        <v>1250</v>
      </c>
      <c r="I18">
        <v>750</v>
      </c>
      <c r="J18" t="s">
        <v>18</v>
      </c>
      <c r="K18">
        <f>Table1[[#This Row],[Quantity]]*Table1[[#This Row],[Unit_Price]]</f>
        <v>7500</v>
      </c>
      <c r="L18">
        <f>Table1[[#This Row],[Quantity]]*Table1[[#This Row],[Cost_Price]]</f>
        <v>4500</v>
      </c>
      <c r="M18">
        <f>Table1[[#This Row],[Revenue]]-Table1[[#This Row],[Total_Cost]]</f>
        <v>3000</v>
      </c>
      <c r="N18" s="5">
        <f>Table1[[#This Row],[Profit]]/Table1[[#This Row],[Revenue]]</f>
        <v>0.4</v>
      </c>
      <c r="X18"/>
      <c r="Y18"/>
      <c r="Z18"/>
    </row>
    <row r="19" spans="1:26" x14ac:dyDescent="0.3">
      <c r="A19">
        <v>1006</v>
      </c>
      <c r="B19" s="4">
        <v>45297</v>
      </c>
      <c r="C19" t="s">
        <v>15</v>
      </c>
      <c r="D19" t="s">
        <v>29</v>
      </c>
      <c r="E19" t="s">
        <v>30</v>
      </c>
      <c r="F19" t="s">
        <v>13</v>
      </c>
      <c r="G19">
        <v>1</v>
      </c>
      <c r="H19">
        <v>15000</v>
      </c>
      <c r="I19">
        <v>12000</v>
      </c>
      <c r="J19" t="s">
        <v>14</v>
      </c>
      <c r="K19">
        <f>Table1[[#This Row],[Quantity]]*Table1[[#This Row],[Unit_Price]]</f>
        <v>15000</v>
      </c>
      <c r="L19">
        <f>Table1[[#This Row],[Quantity]]*Table1[[#This Row],[Cost_Price]]</f>
        <v>12000</v>
      </c>
      <c r="M19">
        <f>Table1[[#This Row],[Revenue]]-Table1[[#This Row],[Total_Cost]]</f>
        <v>3000</v>
      </c>
      <c r="N19" s="5">
        <f>Table1[[#This Row],[Profit]]/Table1[[#This Row],[Revenue]]</f>
        <v>0.2</v>
      </c>
      <c r="X19"/>
      <c r="Y19"/>
      <c r="Z19"/>
    </row>
    <row r="20" spans="1:26" x14ac:dyDescent="0.3">
      <c r="A20">
        <v>1018</v>
      </c>
      <c r="B20" s="4">
        <v>45315</v>
      </c>
      <c r="C20" t="s">
        <v>15</v>
      </c>
      <c r="D20" t="s">
        <v>29</v>
      </c>
      <c r="E20" t="s">
        <v>26</v>
      </c>
      <c r="F20" t="s">
        <v>22</v>
      </c>
      <c r="G20">
        <v>1</v>
      </c>
      <c r="H20">
        <v>13000</v>
      </c>
      <c r="I20">
        <v>10000</v>
      </c>
      <c r="J20" t="s">
        <v>14</v>
      </c>
      <c r="K20">
        <f>Table1[[#This Row],[Quantity]]*Table1[[#This Row],[Unit_Price]]</f>
        <v>13000</v>
      </c>
      <c r="L20">
        <f>Table1[[#This Row],[Quantity]]*Table1[[#This Row],[Cost_Price]]</f>
        <v>10000</v>
      </c>
      <c r="M20">
        <f>Table1[[#This Row],[Revenue]]-Table1[[#This Row],[Total_Cost]]</f>
        <v>3000</v>
      </c>
      <c r="N20" s="5">
        <f>Table1[[#This Row],[Profit]]/Table1[[#This Row],[Revenue]]</f>
        <v>0.23076923076923078</v>
      </c>
      <c r="X20"/>
      <c r="Y20"/>
      <c r="Z20"/>
    </row>
    <row r="21" spans="1:26" x14ac:dyDescent="0.3">
      <c r="A21">
        <v>1030</v>
      </c>
      <c r="B21" s="4">
        <v>45339</v>
      </c>
      <c r="C21" t="s">
        <v>15</v>
      </c>
      <c r="D21" t="s">
        <v>29</v>
      </c>
      <c r="E21" t="s">
        <v>36</v>
      </c>
      <c r="F21" t="s">
        <v>13</v>
      </c>
      <c r="G21">
        <v>9</v>
      </c>
      <c r="H21">
        <v>1550</v>
      </c>
      <c r="I21">
        <v>950</v>
      </c>
      <c r="J21" t="s">
        <v>23</v>
      </c>
      <c r="K21">
        <f>Table1[[#This Row],[Quantity]]*Table1[[#This Row],[Unit_Price]]</f>
        <v>13950</v>
      </c>
      <c r="L21">
        <f>Table1[[#This Row],[Quantity]]*Table1[[#This Row],[Cost_Price]]</f>
        <v>8550</v>
      </c>
      <c r="M21">
        <f>Table1[[#This Row],[Revenue]]-Table1[[#This Row],[Total_Cost]]</f>
        <v>5400</v>
      </c>
      <c r="N21" s="5">
        <f>Table1[[#This Row],[Profit]]/Table1[[#This Row],[Revenue]]</f>
        <v>0.38709677419354838</v>
      </c>
      <c r="X21"/>
      <c r="Y21"/>
      <c r="Z21"/>
    </row>
    <row r="22" spans="1:26" x14ac:dyDescent="0.3">
      <c r="A22">
        <v>1001</v>
      </c>
      <c r="B22" s="4">
        <v>45292</v>
      </c>
      <c r="C22" t="s">
        <v>10</v>
      </c>
      <c r="D22" t="s">
        <v>11</v>
      </c>
      <c r="E22" t="s">
        <v>12</v>
      </c>
      <c r="F22" t="s">
        <v>13</v>
      </c>
      <c r="G22">
        <v>2</v>
      </c>
      <c r="H22">
        <v>55000</v>
      </c>
      <c r="I22">
        <v>48000</v>
      </c>
      <c r="J22" t="s">
        <v>14</v>
      </c>
      <c r="K22">
        <f>Table1[[#This Row],[Quantity]]*Table1[[#This Row],[Unit_Price]]</f>
        <v>110000</v>
      </c>
      <c r="L22">
        <f>Table1[[#This Row],[Quantity]]*Table1[[#This Row],[Cost_Price]]</f>
        <v>96000</v>
      </c>
      <c r="M22">
        <f>Table1[[#This Row],[Revenue]]-Table1[[#This Row],[Total_Cost]]</f>
        <v>14000</v>
      </c>
      <c r="N22" s="5">
        <f>Table1[[#This Row],[Profit]]/Table1[[#This Row],[Revenue]]</f>
        <v>0.12727272727272726</v>
      </c>
      <c r="X22"/>
      <c r="Y22"/>
      <c r="Z22"/>
    </row>
    <row r="23" spans="1:26" x14ac:dyDescent="0.3">
      <c r="A23">
        <v>1013</v>
      </c>
      <c r="B23" s="4">
        <v>45306</v>
      </c>
      <c r="C23" t="s">
        <v>10</v>
      </c>
      <c r="D23" t="s">
        <v>11</v>
      </c>
      <c r="E23" t="s">
        <v>21</v>
      </c>
      <c r="F23" t="s">
        <v>22</v>
      </c>
      <c r="G23">
        <v>4</v>
      </c>
      <c r="H23">
        <v>4500</v>
      </c>
      <c r="I23">
        <v>3200</v>
      </c>
      <c r="J23" t="s">
        <v>14</v>
      </c>
      <c r="K23">
        <f>Table1[[#This Row],[Quantity]]*Table1[[#This Row],[Unit_Price]]</f>
        <v>18000</v>
      </c>
      <c r="L23">
        <f>Table1[[#This Row],[Quantity]]*Table1[[#This Row],[Cost_Price]]</f>
        <v>12800</v>
      </c>
      <c r="M23">
        <f>Table1[[#This Row],[Revenue]]-Table1[[#This Row],[Total_Cost]]</f>
        <v>5200</v>
      </c>
      <c r="N23" s="5">
        <f>Table1[[#This Row],[Profit]]/Table1[[#This Row],[Revenue]]</f>
        <v>0.28888888888888886</v>
      </c>
      <c r="X23"/>
      <c r="Y23"/>
      <c r="Z23"/>
    </row>
    <row r="24" spans="1:26" x14ac:dyDescent="0.3">
      <c r="A24">
        <v>1025</v>
      </c>
      <c r="B24" s="4">
        <v>45329</v>
      </c>
      <c r="C24" t="s">
        <v>10</v>
      </c>
      <c r="D24" t="s">
        <v>11</v>
      </c>
      <c r="E24" t="s">
        <v>28</v>
      </c>
      <c r="F24" t="s">
        <v>13</v>
      </c>
      <c r="G24">
        <v>5</v>
      </c>
      <c r="H24">
        <v>18500</v>
      </c>
      <c r="I24">
        <v>15500</v>
      </c>
      <c r="J24" t="s">
        <v>18</v>
      </c>
      <c r="K24">
        <f>Table1[[#This Row],[Quantity]]*Table1[[#This Row],[Unit_Price]]</f>
        <v>92500</v>
      </c>
      <c r="L24">
        <f>Table1[[#This Row],[Quantity]]*Table1[[#This Row],[Cost_Price]]</f>
        <v>77500</v>
      </c>
      <c r="M24">
        <f>Table1[[#This Row],[Revenue]]-Table1[[#This Row],[Total_Cost]]</f>
        <v>15000</v>
      </c>
      <c r="N24" s="5">
        <f>Table1[[#This Row],[Profit]]/Table1[[#This Row],[Revenue]]</f>
        <v>0.16216216216216217</v>
      </c>
    </row>
    <row r="25" spans="1:26" x14ac:dyDescent="0.3">
      <c r="A25">
        <v>1007</v>
      </c>
      <c r="B25" s="4">
        <v>45298</v>
      </c>
      <c r="C25" t="s">
        <v>19</v>
      </c>
      <c r="D25" t="s">
        <v>31</v>
      </c>
      <c r="E25" t="s">
        <v>32</v>
      </c>
      <c r="F25" t="s">
        <v>22</v>
      </c>
      <c r="G25">
        <v>3</v>
      </c>
      <c r="H25">
        <v>8000</v>
      </c>
      <c r="I25">
        <v>6000</v>
      </c>
      <c r="J25" t="s">
        <v>23</v>
      </c>
      <c r="K25">
        <f>Table1[[#This Row],[Quantity]]*Table1[[#This Row],[Unit_Price]]</f>
        <v>24000</v>
      </c>
      <c r="L25">
        <f>Table1[[#This Row],[Quantity]]*Table1[[#This Row],[Cost_Price]]</f>
        <v>18000</v>
      </c>
      <c r="M25">
        <f>Table1[[#This Row],[Revenue]]-Table1[[#This Row],[Total_Cost]]</f>
        <v>6000</v>
      </c>
      <c r="N25" s="5">
        <f>Table1[[#This Row],[Profit]]/Table1[[#This Row],[Revenue]]</f>
        <v>0.25</v>
      </c>
    </row>
    <row r="26" spans="1:26" x14ac:dyDescent="0.3">
      <c r="A26">
        <v>1019</v>
      </c>
      <c r="B26" s="4">
        <v>45316</v>
      </c>
      <c r="C26" t="s">
        <v>19</v>
      </c>
      <c r="D26" t="s">
        <v>31</v>
      </c>
      <c r="E26" t="s">
        <v>34</v>
      </c>
      <c r="F26" t="s">
        <v>13</v>
      </c>
      <c r="G26">
        <v>4</v>
      </c>
      <c r="H26">
        <v>14500</v>
      </c>
      <c r="I26">
        <v>11500</v>
      </c>
      <c r="J26" t="s">
        <v>18</v>
      </c>
      <c r="K26">
        <f>Table1[[#This Row],[Quantity]]*Table1[[#This Row],[Unit_Price]]</f>
        <v>58000</v>
      </c>
      <c r="L26">
        <f>Table1[[#This Row],[Quantity]]*Table1[[#This Row],[Cost_Price]]</f>
        <v>46000</v>
      </c>
      <c r="M26">
        <f>Table1[[#This Row],[Revenue]]-Table1[[#This Row],[Total_Cost]]</f>
        <v>12000</v>
      </c>
      <c r="N26" s="5">
        <f>Table1[[#This Row],[Profit]]/Table1[[#This Row],[Revenue]]</f>
        <v>0.20689655172413793</v>
      </c>
    </row>
    <row r="27" spans="1:26" x14ac:dyDescent="0.3">
      <c r="A27">
        <v>1009</v>
      </c>
      <c r="B27" s="4">
        <v>45300</v>
      </c>
      <c r="C27" t="s">
        <v>10</v>
      </c>
      <c r="D27" t="s">
        <v>35</v>
      </c>
      <c r="E27" t="s">
        <v>36</v>
      </c>
      <c r="F27" t="s">
        <v>13</v>
      </c>
      <c r="G27">
        <v>6</v>
      </c>
      <c r="H27">
        <v>1500</v>
      </c>
      <c r="I27">
        <v>900</v>
      </c>
      <c r="J27" t="s">
        <v>23</v>
      </c>
      <c r="K27">
        <f>Table1[[#This Row],[Quantity]]*Table1[[#This Row],[Unit_Price]]</f>
        <v>9000</v>
      </c>
      <c r="L27">
        <f>Table1[[#This Row],[Quantity]]*Table1[[#This Row],[Cost_Price]]</f>
        <v>5400</v>
      </c>
      <c r="M27">
        <f>Table1[[#This Row],[Revenue]]-Table1[[#This Row],[Total_Cost]]</f>
        <v>3600</v>
      </c>
      <c r="N27" s="5">
        <f>Table1[[#This Row],[Profit]]/Table1[[#This Row],[Revenue]]</f>
        <v>0.4</v>
      </c>
    </row>
    <row r="28" spans="1:26" x14ac:dyDescent="0.3">
      <c r="A28">
        <v>1021</v>
      </c>
      <c r="B28" s="4">
        <v>45319</v>
      </c>
      <c r="C28" t="s">
        <v>10</v>
      </c>
      <c r="D28" t="s">
        <v>35</v>
      </c>
      <c r="E28" t="s">
        <v>38</v>
      </c>
      <c r="F28" t="s">
        <v>13</v>
      </c>
      <c r="G28">
        <v>12</v>
      </c>
      <c r="H28">
        <v>850</v>
      </c>
      <c r="I28">
        <v>550</v>
      </c>
      <c r="J28" t="s">
        <v>18</v>
      </c>
      <c r="K28">
        <f>Table1[[#This Row],[Quantity]]*Table1[[#This Row],[Unit_Price]]</f>
        <v>10200</v>
      </c>
      <c r="L28">
        <f>Table1[[#This Row],[Quantity]]*Table1[[#This Row],[Cost_Price]]</f>
        <v>6600</v>
      </c>
      <c r="M28">
        <f>Table1[[#This Row],[Revenue]]-Table1[[#This Row],[Total_Cost]]</f>
        <v>3600</v>
      </c>
      <c r="N28" s="5">
        <f>Table1[[#This Row],[Profit]]/Table1[[#This Row],[Revenue]]</f>
        <v>0.35294117647058826</v>
      </c>
    </row>
    <row r="29" spans="1:26" x14ac:dyDescent="0.3">
      <c r="A29">
        <v>1015</v>
      </c>
      <c r="B29" s="4">
        <v>45309</v>
      </c>
      <c r="C29" t="s">
        <v>19</v>
      </c>
      <c r="D29" t="s">
        <v>20</v>
      </c>
      <c r="E29" t="s">
        <v>12</v>
      </c>
      <c r="F29" t="s">
        <v>13</v>
      </c>
      <c r="G29">
        <v>1</v>
      </c>
      <c r="H29">
        <v>56000</v>
      </c>
      <c r="I29">
        <v>49000</v>
      </c>
      <c r="J29" t="s">
        <v>14</v>
      </c>
      <c r="K29">
        <f>Table1[[#This Row],[Quantity]]*Table1[[#This Row],[Unit_Price]]</f>
        <v>56000</v>
      </c>
      <c r="L29">
        <f>Table1[[#This Row],[Quantity]]*Table1[[#This Row],[Cost_Price]]</f>
        <v>49000</v>
      </c>
      <c r="M29">
        <f>Table1[[#This Row],[Revenue]]-Table1[[#This Row],[Total_Cost]]</f>
        <v>7000</v>
      </c>
      <c r="N29" s="5">
        <f>Table1[[#This Row],[Profit]]/Table1[[#This Row],[Revenue]]</f>
        <v>0.125</v>
      </c>
    </row>
    <row r="30" spans="1:26" x14ac:dyDescent="0.3">
      <c r="A30">
        <v>1027</v>
      </c>
      <c r="B30" s="4">
        <v>45333</v>
      </c>
      <c r="C30" t="s">
        <v>19</v>
      </c>
      <c r="D30" t="s">
        <v>20</v>
      </c>
      <c r="E30" t="s">
        <v>30</v>
      </c>
      <c r="F30" t="s">
        <v>13</v>
      </c>
      <c r="G30">
        <v>2</v>
      </c>
      <c r="H30">
        <v>15200</v>
      </c>
      <c r="I30">
        <v>12200</v>
      </c>
      <c r="J30" t="s">
        <v>14</v>
      </c>
      <c r="K30">
        <f>Table1[[#This Row],[Quantity]]*Table1[[#This Row],[Unit_Price]]</f>
        <v>30400</v>
      </c>
      <c r="L30">
        <f>Table1[[#This Row],[Quantity]]*Table1[[#This Row],[Cost_Price]]</f>
        <v>24400</v>
      </c>
      <c r="M30">
        <f>Table1[[#This Row],[Revenue]]-Table1[[#This Row],[Total_Cost]]</f>
        <v>6000</v>
      </c>
      <c r="N30" s="5">
        <f>Table1[[#This Row],[Profit]]/Table1[[#This Row],[Revenue]]</f>
        <v>0.19736842105263158</v>
      </c>
    </row>
    <row r="31" spans="1:26" x14ac:dyDescent="0.3">
      <c r="A31">
        <v>1003</v>
      </c>
      <c r="B31" s="4">
        <v>45294</v>
      </c>
      <c r="C31" t="s">
        <v>19</v>
      </c>
      <c r="D31" t="s">
        <v>20</v>
      </c>
      <c r="E31" t="s">
        <v>21</v>
      </c>
      <c r="F31" t="s">
        <v>22</v>
      </c>
      <c r="G31">
        <v>5</v>
      </c>
      <c r="H31">
        <v>4500</v>
      </c>
      <c r="I31">
        <v>3200</v>
      </c>
      <c r="J31" t="s">
        <v>23</v>
      </c>
      <c r="K31">
        <f>Table1[[#This Row],[Quantity]]*Table1[[#This Row],[Unit_Price]]</f>
        <v>22500</v>
      </c>
      <c r="L31">
        <f>Table1[[#This Row],[Quantity]]*Table1[[#This Row],[Cost_Price]]</f>
        <v>16000</v>
      </c>
      <c r="M31">
        <f>Table1[[#This Row],[Revenue]]-Table1[[#This Row],[Total_Cost]]</f>
        <v>6500</v>
      </c>
      <c r="N31" s="5">
        <f>Table1[[#This Row],[Profit]]/Table1[[#This Row],[Revenue]]</f>
        <v>0.28888888888888886</v>
      </c>
    </row>
    <row r="32" spans="1:26" x14ac:dyDescent="0.3">
      <c r="N32"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 cost</vt:lpstr>
      <vt:lpstr>sales by product</vt:lpstr>
      <vt:lpstr>category</vt:lpstr>
      <vt:lpstr>product vs cost</vt:lpstr>
      <vt:lpstr>Dashboard</vt:lpstr>
      <vt:lpstr>profit</vt:lpstr>
      <vt:lpstr>top products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HARSHINI BODABALLA</dc:creator>
  <cp:lastModifiedBy>HARSHINI BODABALLA</cp:lastModifiedBy>
  <dcterms:created xsi:type="dcterms:W3CDTF">2026-02-20T06:10:35Z</dcterms:created>
  <dcterms:modified xsi:type="dcterms:W3CDTF">2026-02-20T10:31:14Z</dcterms:modified>
</cp:coreProperties>
</file>